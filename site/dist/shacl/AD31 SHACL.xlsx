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fixes" sheetId="1" r:id="rId4"/>
    <sheet state="visible" name="Liens" sheetId="2" r:id="rId5"/>
    <sheet state="visible" name="Classes" sheetId="3" r:id="rId6"/>
    <sheet state="visible" name="Properties" sheetId="4" r:id="rId7"/>
    <sheet state="visible" name="Datasources" sheetId="5" r:id="rId8"/>
    <sheet state="visible" name="Diagrams" sheetId="6" r:id="rId9"/>
    <sheet state="visible" name="Business Rules" sheetId="7" r:id="rId10"/>
  </sheets>
  <definedNames/>
  <calcPr/>
  <extLst>
    <ext uri="GoogleSheetsCustomDataVersion2">
      <go:sheetsCustomData xmlns:go="http://customooxmlschemas.google.com/" r:id="rId11" roundtripDataChecksum="GLy93VHmMa6ih2dMCzxKZysDJw+o+sF4Eyan7x/li9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49">
      <text>
        <t xml:space="preserve">======
ID#AAAB0geDDdI
Thomas Francart    (2026-02-18 11:05:05)
Pour une validation on peut avoir l'un ou l'autre type</t>
      </text>
    </comment>
    <comment authorId="0" ref="O55">
      <text>
        <t xml:space="preserve">======
ID#AAABy-Jx5Qs
Thomas Francart    (2026-01-22 15:23:46)
Note : cette shape n'est pas fermée car elle recouvre aussi les juridictions</t>
      </text>
    </comment>
  </commentList>
  <extLst>
    <ext uri="GoogleSheetsCustomDataVersion2">
      <go:sheetsCustomData xmlns:go="http://customooxmlschemas.google.com/" r:id="rId1" roundtripDataSignature="AMtx7mjNeFxWViUhC36r9ngzNGDLO452Jw=="/>
    </ext>
  </extLst>
</comments>
</file>

<file path=xl/sharedStrings.xml><?xml version="1.0" encoding="utf-8"?>
<sst xmlns="http://schemas.openxmlformats.org/spreadsheetml/2006/main" count="1188" uniqueCount="541">
  <si>
    <t>PREFIX</t>
  </si>
  <si>
    <t>crm</t>
  </si>
  <si>
    <t>http://www.cidoc-crm.org/cidoc-crm/</t>
  </si>
  <si>
    <t>dash</t>
  </si>
  <si>
    <t>http://datashapes.org/dash#</t>
  </si>
  <si>
    <t>frbroo</t>
  </si>
  <si>
    <t>http://iflastandards.info/ns/fr/frbr/frbroo/</t>
  </si>
  <si>
    <t>owl</t>
  </si>
  <si>
    <t>http://www.w3.org/2002/07/owl#</t>
  </si>
  <si>
    <t>rdf</t>
  </si>
  <si>
    <t>http://www.w3.org/1999/02/22-rdf-syntax-ns#</t>
  </si>
  <si>
    <t>rdfs</t>
  </si>
  <si>
    <t>http://www.w3.org/2000/01/rdf-schema#</t>
  </si>
  <si>
    <t>rico</t>
  </si>
  <si>
    <t>https://www.ica.org/standards/RiC/ontology#</t>
  </si>
  <si>
    <t>sh</t>
  </si>
  <si>
    <t>http://www.w3.org/ns/shacl#</t>
  </si>
  <si>
    <t>shacl-play</t>
  </si>
  <si>
    <t>https://shacl-play.sparna.fr/ontology#</t>
  </si>
  <si>
    <t>volipi</t>
  </si>
  <si>
    <t>http://data.sparna.fr/ontologies/volipi#</t>
  </si>
  <si>
    <t>xsd</t>
  </si>
  <si>
    <t>http://www.w3.org/2001/XMLSchema#</t>
  </si>
  <si>
    <t>geosparql</t>
  </si>
  <si>
    <t>http://www.opengis.net/ont/geosparql#</t>
  </si>
  <si>
    <t>core</t>
  </si>
  <si>
    <t>http://data.sparna.fr/ontologies/sparnatural-config-core#</t>
  </si>
  <si>
    <t>datasources</t>
  </si>
  <si>
    <t>http://data.sparna.fr/ontologies/sparnatural-config-datasources#</t>
  </si>
  <si>
    <t>vocabulaire</t>
  </si>
  <si>
    <t>https://data.archives.haute-garonne.fr/vocabulaire/</t>
  </si>
  <si>
    <t>sacs</t>
  </si>
  <si>
    <t>https://data.archives.haute-garonne.fr/modeles/sacsaproces#</t>
  </si>
  <si>
    <t>type</t>
  </si>
  <si>
    <t>https://data.archives.haute-garonne.fr/type/</t>
  </si>
  <si>
    <t>ad31</t>
  </si>
  <si>
    <t>https://data.archives.haute-garonne.fr/ontologie#</t>
  </si>
  <si>
    <t>Lien vers le fichier Excel</t>
  </si>
  <si>
    <t>https://docs.google.com/spreadsheets/d/1X6GqNxMBVkflrJGj2kAm-wYz0Ey7nEOt/export?format=xlsx</t>
  </si>
  <si>
    <t>Lien pour obtenir le fichier SHACL</t>
  </si>
  <si>
    <t>Lien vers la documentation HTML</t>
  </si>
  <si>
    <t>URI du modèle</t>
  </si>
  <si>
    <t>https://data.archives.haute-garonne.fr/modeles/sacsaproces</t>
  </si>
  <si>
    <t>dct:title</t>
  </si>
  <si>
    <t>Modélisation du fonds des sacs à procès</t>
  </si>
  <si>
    <t>dct:abstract</t>
  </si>
  <si>
    <t>Cette page documente la structure des données du fonds des Sacs à Procès des Archives Départemantales de la Haute-Garonne</t>
  </si>
  <si>
    <t>foaf:depiction</t>
  </si>
  <si>
    <t>dcat:distribution</t>
  </si>
  <si>
    <t>[dcterms:format &lt;https://www.iana.org/assignments/media-types/text/turtle&gt;; dcat:downloadURL &lt;https://sparna-git.github.io/ad31/configs/ad31-shacl.ttl&gt;]</t>
  </si>
  <si>
    <t>rdf:type</t>
  </si>
  <si>
    <t>owl:Ontology</t>
  </si>
  <si>
    <t>URI</t>
  </si>
  <si>
    <t>sh:order^^xsd:integer</t>
  </si>
  <si>
    <t>volipi:iconName</t>
  </si>
  <si>
    <t>rdf:type(separator=",")</t>
  </si>
  <si>
    <t>sh:targetClass</t>
  </si>
  <si>
    <t>sh:target(id="target")</t>
  </si>
  <si>
    <t>sh:select(subjectColumn="target")</t>
  </si>
  <si>
    <t>rdfs:label@fr</t>
  </si>
  <si>
    <t>rdfs:subClassOf(subjectColumn="sh:targetClass")</t>
  </si>
  <si>
    <t>skos:definition@fr</t>
  </si>
  <si>
    <t>sh:deactivated^^xsd:boolean</t>
  </si>
  <si>
    <t>sh:nodeKind</t>
  </si>
  <si>
    <t>sh:pattern^^xsd:string</t>
  </si>
  <si>
    <t>foaf:depiction(separator=",")</t>
  </si>
  <si>
    <t>sh:closed^^xsd:boolean</t>
  </si>
  <si>
    <t>sh:ignoredProperties</t>
  </si>
  <si>
    <t>shacl-play:background-color</t>
  </si>
  <si>
    <t>shacl-play:color</t>
  </si>
  <si>
    <t>Commentaire</t>
  </si>
  <si>
    <t>Cote</t>
  </si>
  <si>
    <t>sacs:Identifiant</t>
  </si>
  <si>
    <t>fa-solid fa-laptop-code</t>
  </si>
  <si>
    <t>sh:NodeShape</t>
  </si>
  <si>
    <t>rico:Identifier</t>
  </si>
  <si>
    <t>Identifiant</t>
  </si>
  <si>
    <t>Ici les identifiants utilisés dans le modèle. Les cotes sont les identifiants uniques des sacs. Chaque identifiant correspond à un seul sac. Un sac peut avoir plusieurs identifiants (de types différents). Les lieux peuvent avoir un code INSEE.</t>
  </si>
  <si>
    <t>sh:IRI</t>
  </si>
  <si>
    <t>"^https:\/\/data.archives.haute-garonne.fr\/((instanciation)|(lieu)|(archive))\/[0-9a-f]{8}-[0-9a-f]{4}-[0-9a-f]{4}-[0-9a-f]{4}-[0-9a-f]{12}#((cote)|(insee)|(ark)|(castan[1234]))"</t>
  </si>
  <si>
    <t>sacs:Diagram_Instantiation</t>
  </si>
  <si>
    <t>( rdf:type )</t>
  </si>
  <si>
    <t>ffffff</t>
  </si>
  <si>
    <t>Date</t>
  </si>
  <si>
    <t>sacs:Date</t>
  </si>
  <si>
    <t>fa-solid fa-calendar</t>
  </si>
  <si>
    <t>rico:Date</t>
  </si>
  <si>
    <t>Information chronologique liée à la procédure</t>
  </si>
  <si>
    <t>"^https://data.archives.haute-garonne.fr/evenement/[0-9a-f]{8}-[0-9a-f]{4}-[0-9a-f]{4}-[0-9a-f]{4}-[0-9a-f]{12}#date-[debut|fin]"</t>
  </si>
  <si>
    <t>sacs:Diagram_Activity_Procedure</t>
  </si>
  <si>
    <t>ded9c3</t>
  </si>
  <si>
    <t>Documents</t>
  </si>
  <si>
    <t>sacs:Notice</t>
  </si>
  <si>
    <t>fa-solid fa-file-text</t>
  </si>
  <si>
    <t>rico:RecordSet</t>
  </si>
  <si>
    <t>Notice</t>
  </si>
  <si>
    <t>Contenu intellectuel des documents présents dans le sac</t>
  </si>
  <si>
    <t>"^https://data.archives.haute-garonne.fr/archive/[0-9a-f]{8}-[0-9a-f]{4}-[0-9a-f]{4}-[0-9a-f]{4}-[0-9a-f]{12}"</t>
  </si>
  <si>
    <t>dbeef4</t>
  </si>
  <si>
    <t>Faits</t>
  </si>
  <si>
    <t>sacs:Fait</t>
  </si>
  <si>
    <t>fa-solid fa-circle-question</t>
  </si>
  <si>
    <t>rico:Event</t>
  </si>
  <si>
    <t>Fait</t>
  </si>
  <si>
    <t>Objet de la procédure.</t>
  </si>
  <si>
    <t>"^https://data.archives.haute-garonne.fr/evenement/[0-9a-f]{8}-[0-9a-f]{4}-[0-9a-f]{4}-[0-9a-f]{4}-[0-9a-f]{12}"</t>
  </si>
  <si>
    <t>sacs:Diagram_Event_Place</t>
  </si>
  <si>
    <t>fffa9f</t>
  </si>
  <si>
    <t>Instruction</t>
  </si>
  <si>
    <t>sacs:Instruction</t>
  </si>
  <si>
    <t>fa-solid fa-gavel</t>
  </si>
  <si>
    <t>PREFIX rico: &lt;https://www.ica.org/standards/RiC/ontology#&gt;
PREFIX type: &lt;https://data.archives.haute-garonne.fr/type/&gt;
SELECT $this
WHERE {
  $this a rico:Activity .
  $this rico:hasActivityType type:acins .
}</t>
  </si>
  <si>
    <t>Ensemble d’actions menées par une juridiction pour mettre une affaire en état d’être jugée.</t>
  </si>
  <si>
    <t>Juridiction</t>
  </si>
  <si>
    <t>sacs:Juridiction</t>
  </si>
  <si>
    <t>fa-solid fa-landmark</t>
  </si>
  <si>
    <r>
      <rPr>
        <rFont val="Arial"/>
        <sz val="11.0"/>
      </rPr>
      <t>PREFIX rico: &lt;https://www.ica.org/standards/RiC/ontology#&gt;
PREFIX type: &lt;</t>
    </r>
    <r>
      <rPr>
        <rFont val="Arial"/>
        <color rgb="FF1155CC"/>
        <sz val="11.0"/>
        <u/>
      </rPr>
      <t>https://data.archives.haute-garonne.fr/type/</t>
    </r>
    <r>
      <rPr>
        <rFont val="Arial"/>
        <sz val="11.0"/>
      </rPr>
      <t>&gt;
SELECT $this
WHERE {
  $this a rico:CorporateBody .
  $this rico:hasOrHadCorporateBodyType type:cljur .
}</t>
    </r>
  </si>
  <si>
    <t>Institution judiciaire ayant instruit la procédure.</t>
  </si>
  <si>
    <t>"^https://data.archives.haute-garonne.fr/agent/[0-9a-f]{8}-[0-9a-f]{4}-[0-9a-f]{4}-[0-9a-f]{4}-[0-9a-f]{12}"</t>
  </si>
  <si>
    <t>c7d8f1</t>
  </si>
  <si>
    <t>Liasse</t>
  </si>
  <si>
    <t>sacs:Liasse</t>
  </si>
  <si>
    <t>fa-solid fa-box-archive</t>
  </si>
  <si>
    <t>PREFIX rico: &lt;https://www.ica.org/standards/RiC/ontology#&gt;
PREFIX type: &lt;https://data.archives.haute-garonne.fr/type/&gt;
SELECT $this
WHERE {
  $this a rico:Instantiation .
  $this rico:hasCarrierType type:sulia .
}</t>
  </si>
  <si>
    <t>Ensemble matériel de sacs, ficelés ensemble probablement au XIXe siècle dans le cadre d’une action archivistique de nature pour l’instant inconnue.</t>
  </si>
  <si>
    <t>"^https://data.archives.haute-garonne.fr/instanciation/[0-9a-f]{8}-[0-9a-f]{4}-[0-9a-f]{4}-[0-9a-f]{4}-[0-9a-f]{12}"</t>
  </si>
  <si>
    <t>f5deb4</t>
  </si>
  <si>
    <t>Lieu</t>
  </si>
  <si>
    <t>sacs:Lieu</t>
  </si>
  <si>
    <t>fa-solid fa-location-dot</t>
  </si>
  <si>
    <t>rico:Place</t>
  </si>
  <si>
    <t>Entité géographique permettant de contextualiser des faits, une juridiction, ou une partie.</t>
  </si>
  <si>
    <t>"^https://data.archives.haute-garonne.fr/lieu/[0-9a-f]{8}-[0-9a-f]{4}-[0-9a-f]{4}-[0-9a-f]{4}-[0-9a-f]{12}"</t>
  </si>
  <si>
    <t>f99f9f</t>
  </si>
  <si>
    <t>Procédure</t>
  </si>
  <si>
    <t>sacs:Procedure</t>
  </si>
  <si>
    <t>fa-solid fa-book</t>
  </si>
  <si>
    <t>PREFIX rico: &lt;https://www.ica.org/standards/RiC/ontology#&gt;
PREFIX type: &lt;https://data.archives.haute-garonne.fr/type/&gt;
SELECT $this
WHERE {
  $this a rico:Activity .
  $this rico:hasActivityType type:acpro .
}</t>
  </si>
  <si>
    <t>Procédure judiciaire à l’origine des documents. Cœur de la description</t>
  </si>
  <si>
    <t>fef9a0</t>
  </si>
  <si>
    <t>Traitement archivistique</t>
  </si>
  <si>
    <t>sacs:Traitement</t>
  </si>
  <si>
    <t>fa-solid fa-gears</t>
  </si>
  <si>
    <t>PREFIX rico: &lt;https://www.ica.org/standards/RiC/ontology#&gt;
PREFIX type: &lt;https://data.archives.haute-garonne.fr/type/&gt;
SELECT $this
WHERE {
  $this a rico:Activity .
  $this rico:hasActivityType type:actra .
}</t>
  </si>
  <si>
    <t>Activité de traitement archivistique, décomposée en étapes de dépouillement, de saisie, de validation ou relecture. Représente le traitement sur un "lot" de notices.</t>
  </si>
  <si>
    <t>sacs:Diagram_Activity_Campagne</t>
  </si>
  <si>
    <t>Dépouillement</t>
  </si>
  <si>
    <t>sacs:Depouillement</t>
  </si>
  <si>
    <t>PREFIX rico: &lt;https://www.ica.org/standards/RiC/ontology#&gt;
PREFIX type: &lt;https://data.archives.haute-garonne.fr/type/&gt;
SELECT $this
WHERE {
  $this a rico:Activity .
  $this rico:hasActivityType type:acdep .
}</t>
  </si>
  <si>
    <t>Saisie</t>
  </si>
  <si>
    <t>sacs:Saisie</t>
  </si>
  <si>
    <t>PREFIX rico: &lt;https://www.ica.org/standards/RiC/ontology#&gt;
PREFIX type: &lt;https://data.archives.haute-garonne.fr/type/&gt;
SELECT $this
WHERE {
  $this a rico:Activity .
  $this rico:hasActivityType type:acsai .
}</t>
  </si>
  <si>
    <t>Validation</t>
  </si>
  <si>
    <t>sacs:Validation</t>
  </si>
  <si>
    <t>PREFIX rico: &lt;https://www.ica.org/standards/RiC/ontology#&gt;
PREFIX type: &lt;https://data.archives.haute-garonne.fr/type/&gt;
SELECT $this
WHERE {
  $this a rico:Activity .
  $this rico:hasActivityType ?relOuVal VALUES ?relOuVal { type:acrel type:acval } .
}</t>
  </si>
  <si>
    <t>Sac</t>
  </si>
  <si>
    <t>sacs:Sac</t>
  </si>
  <si>
    <t>fa-solid fa-suitcase</t>
  </si>
  <si>
    <t>PREFIX rico: &lt;https://www.ica.org/standards/RiC/ontology#&gt;
PREFIX type: &lt;https://data.archives.haute-garonne.fr/type/&gt;
SELECT $this
WHERE {
  $this a rico:Instantiation .
  $this rico:hasCarrierType type:susac .
}</t>
  </si>
  <si>
    <t>Aspect matériel de l’ensemble documentaire.</t>
  </si>
  <si>
    <t>f4ddb4</t>
  </si>
  <si>
    <t>Partie – personne morale</t>
  </si>
  <si>
    <t>sacs:PersonneMorale</t>
  </si>
  <si>
    <t>fa-solid fa-building</t>
  </si>
  <si>
    <r>
      <rPr>
        <rFont val="Arial"/>
        <sz val="11.0"/>
      </rPr>
      <t>PREFIX rico: &lt;https://www.ica.org/standards/RiC/ontology#&gt;
PREFIX type: &lt;</t>
    </r>
    <r>
      <rPr>
        <rFont val="Arial"/>
        <color rgb="FF1155CC"/>
        <sz val="11.0"/>
        <u/>
      </rPr>
      <t>https://data.archives.haute-garonne.fr/type/</t>
    </r>
    <r>
      <rPr>
        <rFont val="Arial"/>
        <sz val="11.0"/>
      </rPr>
      <t>&gt;
SELECT $this
WHERE {
  $this a rico:CorporateBody .
  FILTER NOT EXISTS { $this rico:hasOrHadCorporateBodyType type:cljur . }
}</t>
    </r>
  </si>
  <si>
    <t>Personne morale partie du procès (défendeur ou demandeur)</t>
  </si>
  <si>
    <t>c3d3eb</t>
  </si>
  <si>
    <t>Partie – personne physique</t>
  </si>
  <si>
    <t>sacs:PersonnePhysique</t>
  </si>
  <si>
    <t>fa-solid fa-male</t>
  </si>
  <si>
    <t>rico:Person</t>
  </si>
  <si>
    <t>Individu partie du procès (défendeur ou demandeur)</t>
  </si>
  <si>
    <t>e5dfeb</t>
  </si>
  <si>
    <t> </t>
  </si>
  <si>
    <t>Vocabulaires contrôlés</t>
  </si>
  <si>
    <t>sacs:LegalStatus</t>
  </si>
  <si>
    <t>fa-solid fa-list-ul</t>
  </si>
  <si>
    <t>rico:LegalStatus</t>
  </si>
  <si>
    <t>Type de juridiction</t>
  </si>
  <si>
    <t>Vocabulaire contrôlé permettant de catégoriser les différents niveaux de juridiction.</t>
  </si>
  <si>
    <r>
      <rPr/>
      <t>"^</t>
    </r>
    <r>
      <rPr>
        <color rgb="FF1155CC"/>
        <u/>
      </rPr>
      <t>https://data.archives.haute-garonne.fr/type/ju</t>
    </r>
    <r>
      <rPr/>
      <t>[a-z]{3}$"</t>
    </r>
  </si>
  <si>
    <t>sacs:IdentifierType</t>
  </si>
  <si>
    <t>rico:IdentifierType</t>
  </si>
  <si>
    <t>Type d'identifiant</t>
  </si>
  <si>
    <t>Vocabulaire contrôlé qualifiant un identifiant</t>
  </si>
  <si>
    <r>
      <rPr/>
      <t>"^</t>
    </r>
    <r>
      <rPr>
        <color rgb="FF1155CC"/>
        <u/>
      </rPr>
      <t>https://data.archives.haute-garonne.fr/type/id</t>
    </r>
    <r>
      <rPr/>
      <t>[a-z]{3}$"</t>
    </r>
  </si>
  <si>
    <t>sacs:PlaceType</t>
  </si>
  <si>
    <t>rico:PlaceType</t>
  </si>
  <si>
    <t>Type de lieu</t>
  </si>
  <si>
    <t>Vocabulaire contrôlé qualifiant les lieux</t>
  </si>
  <si>
    <r>
      <rPr/>
      <t>"^</t>
    </r>
    <r>
      <rPr>
        <color rgb="FF1155CC"/>
        <u/>
      </rPr>
      <t>https://data.archives.haute-garonne.fr/type/li</t>
    </r>
    <r>
      <rPr/>
      <t>[a-z]{3}$"</t>
    </r>
  </si>
  <si>
    <t>sacs:EventType</t>
  </si>
  <si>
    <t>rico:EventType</t>
  </si>
  <si>
    <t>Qualification des faits</t>
  </si>
  <si>
    <t>Qualification les faits à l’origine de la procédure.</t>
  </si>
  <si>
    <r>
      <rPr/>
      <t>"^</t>
    </r>
    <r>
      <rPr>
        <color rgb="FF1155CC"/>
        <u/>
      </rPr>
      <t>https://data.archives.haute-garonne.fr/type/fa</t>
    </r>
    <r>
      <rPr/>
      <t>[a-z]{3}$"</t>
    </r>
  </si>
  <si>
    <t>sacs:OccupationType</t>
  </si>
  <si>
    <t>rico:OccupationType</t>
  </si>
  <si>
    <t>Type de profession</t>
  </si>
  <si>
    <t>Vocabulaire contrôlé permettant de catégoriser les professions exercées par des personnes physiques.</t>
  </si>
  <si>
    <r>
      <rPr/>
      <t>"^</t>
    </r>
    <r>
      <rPr>
        <color rgb="FF1155CC"/>
        <u/>
      </rPr>
      <t>https://data.archives.haute-garonne.fr/type/pr</t>
    </r>
    <r>
      <rPr/>
      <t>[a-z]{3}$"</t>
    </r>
  </si>
  <si>
    <t>sacs:ActivityType</t>
  </si>
  <si>
    <t>rico:ActivityType</t>
  </si>
  <si>
    <t>Type d'activité</t>
  </si>
  <si>
    <t>Vocabulaire contrôlé qualifiant un type d'activité</t>
  </si>
  <si>
    <r>
      <rPr/>
      <t>"^</t>
    </r>
    <r>
      <rPr>
        <color rgb="FF1155CC"/>
        <u/>
      </rPr>
      <t>https://data.archives.haute-garonne.fr/type/ac</t>
    </r>
    <r>
      <rPr/>
      <t>[a-z]{3}$"</t>
    </r>
  </si>
  <si>
    <t>sacs:CarrierType</t>
  </si>
  <si>
    <t>rico:CarrierType</t>
  </si>
  <si>
    <t>Type d'instantiation</t>
  </si>
  <si>
    <t>Vocabulaire contrôlé qualifiant un type de support</t>
  </si>
  <si>
    <r>
      <rPr/>
      <t>"^</t>
    </r>
    <r>
      <rPr>
        <color rgb="FF1155CC"/>
        <u/>
      </rPr>
      <t>https://data.archives.haute-garonne.fr/type/su</t>
    </r>
    <r>
      <rPr/>
      <t>[a-z]{3}$"</t>
    </r>
  </si>
  <si>
    <t>sacs:DemographicGroup</t>
  </si>
  <si>
    <t>rico:DemographicGroup</t>
  </si>
  <si>
    <t>Sexe</t>
  </si>
  <si>
    <t>Vocabulaire contrôlé qualifiant le genre de la personne physique</t>
  </si>
  <si>
    <r>
      <rPr/>
      <t>"^</t>
    </r>
    <r>
      <rPr>
        <color rgb="FF1155CC"/>
        <u/>
      </rPr>
      <t>https://data.archives.haute-garonne.fr/type/sx</t>
    </r>
    <r>
      <rPr/>
      <t>[a-z]{3}$"</t>
    </r>
  </si>
  <si>
    <t>sacs:CorporateBodyType</t>
  </si>
  <si>
    <t>rico:CorporateBodyType</t>
  </si>
  <si>
    <t>Type de collectivité</t>
  </si>
  <si>
    <t>Vocabulaire contrôlé qualifiant un type de collectivité</t>
  </si>
  <si>
    <r>
      <rPr/>
      <t>"^</t>
    </r>
    <r>
      <rPr>
        <color rgb="FF1155CC"/>
        <u/>
      </rPr>
      <t>https://data.archives.haute-garonne.fr/type/cl</t>
    </r>
    <r>
      <rPr/>
      <t>[a-z]{3}$"</t>
    </r>
  </si>
  <si>
    <t>sacs:TypeProcedure</t>
  </si>
  <si>
    <t>ad31:TypeProcedure</t>
  </si>
  <si>
    <t>Type de procédure</t>
  </si>
  <si>
    <t>Vocabulaire contrôlé qualifiant un type de procédure</t>
  </si>
  <si>
    <r>
      <rPr/>
      <t>"^</t>
    </r>
    <r>
      <rPr>
        <color rgb="FF1155CC"/>
        <u/>
      </rPr>
      <t>https://data.archives.haute-garonne.fr/type/pc</t>
    </r>
    <r>
      <rPr/>
      <t>[a-z]{3}$"</t>
    </r>
  </si>
  <si>
    <t>sacs:OrdreInstruction</t>
  </si>
  <si>
    <t>ad31:OrdreInstruction</t>
  </si>
  <si>
    <t>Ordre</t>
  </si>
  <si>
    <t>Vocabulaire contrôlé qualifiant l'ordre de l'instruction (première, deuxième, troisième)</t>
  </si>
  <si>
    <r>
      <rPr/>
      <t>"^</t>
    </r>
    <r>
      <rPr>
        <color rgb="FF1155CC"/>
      </rPr>
      <t>https://data.archives.haute-garonne.fr/type/oi</t>
    </r>
    <r>
      <rPr/>
      <t>[a-z]{3}$"</t>
    </r>
  </si>
  <si>
    <t>sacs:TypeRole</t>
  </si>
  <si>
    <t>rico:RoleType</t>
  </si>
  <si>
    <t>Type de rôle</t>
  </si>
  <si>
    <t>Vocabulaire contrôlé qualifiant un type de rôle</t>
  </si>
  <si>
    <r>
      <rPr/>
      <t>"^</t>
    </r>
    <r>
      <rPr>
        <color rgb="FF1155CC"/>
      </rPr>
      <t>https://data.archives.haute-garonne.fr/type/ro</t>
    </r>
    <r>
      <rPr/>
      <t>[a-z]{3}$"</t>
    </r>
  </si>
  <si>
    <t>Literal</t>
  </si>
  <si>
    <t>sacs:Libelle</t>
  </si>
  <si>
    <t>fa-solid fa-quote-left</t>
  </si>
  <si>
    <t>Libellé</t>
  </si>
  <si>
    <t>sh:Literal</t>
  </si>
  <si>
    <t>sacs:Text</t>
  </si>
  <si>
    <t>fa-solid fa-font</t>
  </si>
  <si>
    <t>Texte</t>
  </si>
  <si>
    <t>sacs:Number</t>
  </si>
  <si>
    <t>fa-solid fa-1</t>
  </si>
  <si>
    <t>Quantité</t>
  </si>
  <si>
    <t>sacs:DateLiteral</t>
  </si>
  <si>
    <t>Valeur de date</t>
  </si>
  <si>
    <t>sacs:Coordinates</t>
  </si>
  <si>
    <t>fa-solid fa-map-location</t>
  </si>
  <si>
    <t>Coordonnées (WKT)</t>
  </si>
  <si>
    <t>Valeur de coordonnées au format ["Well-Known Text"](https://fr.wikipedia.org/wiki/Well-known_text), par exemple `"POINT(3.89535229067 45.0276366659)"`</t>
  </si>
  <si>
    <t>sacs:SaisieDirecte</t>
  </si>
  <si>
    <t>fa-solid fa-check-to-slot</t>
  </si>
  <si>
    <t>Saisie directe oui/non</t>
  </si>
  <si>
    <t>URI de la contrainte</t>
  </si>
  <si>
    <t>URI de la propriété</t>
  </si>
  <si>
    <t>Domaine (référence à une NodeShape de la première feuille)</t>
  </si>
  <si>
    <t>ordre dans l'affichage de la doc</t>
  </si>
  <si>
    <t>label @fr</t>
  </si>
  <si>
    <t>description en francais</t>
  </si>
  <si>
    <t>reference to corresponding Github issue</t>
  </si>
  <si>
    <t>card min</t>
  </si>
  <si>
    <t>card max</t>
  </si>
  <si>
    <t>type (litéral / IRI)</t>
  </si>
  <si>
    <t>datatype</t>
  </si>
  <si>
    <t>range (sh:class)</t>
  </si>
  <si>
    <t>range (multiple - sh:or)</t>
  </si>
  <si>
    <t>Valeurs autorisées</t>
  </si>
  <si>
    <t>Flag de label</t>
  </si>
  <si>
    <t>Sparnatural widget</t>
  </si>
  <si>
    <t>Sparnatural datasource</t>
  </si>
  <si>
    <t>sh:path(id="path")</t>
  </si>
  <si>
    <t>^sh:property(separator=",")</t>
  </si>
  <si>
    <t>sh:order</t>
  </si>
  <si>
    <t>sh:name@fr</t>
  </si>
  <si>
    <t>sh:description@fr</t>
  </si>
  <si>
    <t>rdfs:seeAlso</t>
  </si>
  <si>
    <t>sh:minCount^^xsd:integer</t>
  </si>
  <si>
    <t>sh:maxCount^^xsd:integer</t>
  </si>
  <si>
    <t>sh:datatype(separator=";" wrapper="sh:or")</t>
  </si>
  <si>
    <t>sh:class(separator=";" wrapper="sh:or")</t>
  </si>
  <si>
    <t>sh:node(separator=";" wrapper="sh:or")</t>
  </si>
  <si>
    <t>sh:or</t>
  </si>
  <si>
    <t>sh:hasValue(separator=",")</t>
  </si>
  <si>
    <t>sh:in</t>
  </si>
  <si>
    <t>dash:propertyRole</t>
  </si>
  <si>
    <t>dash:searchWidget</t>
  </si>
  <si>
    <t>sh:qualifiedValueShape</t>
  </si>
  <si>
    <t>sh:qualifiedMinCount^^xsd:integer</t>
  </si>
  <si>
    <t>sh:qualifiedMaxCount^^xsd:integer</t>
  </si>
  <si>
    <t>datasources:datasource</t>
  </si>
  <si>
    <t>sh:uniqueLang^^xsd:boolean</t>
  </si>
  <si>
    <t>owl:inverseOf(subjectColumn="path" id="inverse")</t>
  </si>
  <si>
    <t>rdfs:label@fr(subjectColumn="inverse")</t>
  </si>
  <si>
    <t>Identifiants / Cote</t>
  </si>
  <si>
    <t>rico:name</t>
  </si>
  <si>
    <t>valeur</t>
  </si>
  <si>
    <t>xsd:string</t>
  </si>
  <si>
    <t>dash:LabelRole</t>
  </si>
  <si>
    <t>core:SearchProperty</t>
  </si>
  <si>
    <t>rico:hasIdentifierType</t>
  </si>
  <si>
    <t>a pour type d'identifiant</t>
  </si>
  <si>
    <t>Chaque identifiant appartient à un type particulier</t>
  </si>
  <si>
    <t>core:ListProperty</t>
  </si>
  <si>
    <t>rico:normalizedDateValue</t>
  </si>
  <si>
    <t>valeur de date normalisée</t>
  </si>
  <si>
    <t>Format de date basé sur une norme technique publique.</t>
  </si>
  <si>
    <t>xsd:gYear</t>
  </si>
  <si>
    <t>core:TimeProperty-Year</t>
  </si>
  <si>
    <t>rico:expressedDate</t>
  </si>
  <si>
    <t>a pour date d'impression</t>
  </si>
  <si>
    <t>Date en langage naturel</t>
  </si>
  <si>
    <t>rdf:langString</t>
  </si>
  <si>
    <t>libellé d'affichage</t>
  </si>
  <si>
    <t>Contient la valeur "Notice {cote}" (exemple "Notice 2 B 15815")</t>
  </si>
  <si>
    <t>rico:generalDescription</t>
  </si>
  <si>
    <t>présentation du contenu</t>
  </si>
  <si>
    <t>Informations sur le contenu intellectuel du sac. Il peut s’agir de détails sur la procédure ou de mentions de certains documents.</t>
  </si>
  <si>
    <t>rico:recordResourceExtent</t>
  </si>
  <si>
    <t>nombre de pièces</t>
  </si>
  <si>
    <t>Nombre de pièces comprises dans le sac</t>
  </si>
  <si>
    <t>xsd:integer</t>
  </si>
  <si>
    <t>rico:hasOrHadInstantiation</t>
  </si>
  <si>
    <t>a pour instanciation</t>
  </si>
  <si>
    <t>Les documents sont matérialisés par un sac</t>
  </si>
  <si>
    <t>core:AutocompleteProperty</t>
  </si>
  <si>
    <t>rico:documents</t>
  </si>
  <si>
    <t>documente</t>
  </si>
  <si>
    <t>Les documents documentent une procédure</t>
  </si>
  <si>
    <t>rico:hasOrHadIdentifier</t>
  </si>
  <si>
    <t>a pour ID</t>
  </si>
  <si>
    <t>Identifiant ARK de la notice</t>
  </si>
  <si>
    <t>core:NonSelectableProperty</t>
  </si>
  <si>
    <t>ad31:wasCreatedByAgentWithRole</t>
  </si>
  <si>
    <t>a été créé par un agent ayant pour rôle</t>
  </si>
  <si>
    <t>Vocabulaire type de rôle</t>
  </si>
  <si>
    <t>rico:hasOrganicOrFunctionalProvenance</t>
  </si>
  <si>
    <t>a pour provenance organique ou fonctionnelle</t>
  </si>
  <si>
    <t>Contient la valeur "Fait de la procédure "{intitulé de la procédure}" "</t>
  </si>
  <si>
    <t>rico:hasEventType</t>
  </si>
  <si>
    <t>ont pour type de faits</t>
  </si>
  <si>
    <t>Les faits ont une ou plusieurs qualifications</t>
  </si>
  <si>
    <t>rico:hasOrHadLocation</t>
  </si>
  <si>
    <t>ont eu pour localisation</t>
  </si>
  <si>
    <t>Les faits se sont déroulés dans un contexte géographique</t>
  </si>
  <si>
    <t>sacs:Fait_inverse_resultsOrResultedFrom</t>
  </si>
  <si>
    <t>[sh:inversePath rico:resultsOrResultedFrom]</t>
  </si>
  <si>
    <t>a déclenché</t>
  </si>
  <si>
    <t>Les Faits ont donné lieu à une procédure</t>
  </si>
  <si>
    <t>Contient la valeur "Première instruction de "{intitulé de la procédure}" " ou "Deuxième instruction de ..." ou "Troisième instruction de ..."</t>
  </si>
  <si>
    <t>sacs:Instruction_hasActivityType_ActivityType</t>
  </si>
  <si>
    <t>rico:hasActivityType</t>
  </si>
  <si>
    <t>a pour type d'activité</t>
  </si>
  <si>
    <t>Vocabulaire type d'activité</t>
  </si>
  <si>
    <t>[ sh:class rico:ActivityType ; sh:hasValue type:acins ]</t>
  </si>
  <si>
    <t>sacs:Instruction_hasActivityType_OrdreActivite</t>
  </si>
  <si>
    <t>a pour ordre</t>
  </si>
  <si>
    <t>Ordre de l'instruction (première, deuxième, troisième)</t>
  </si>
  <si>
    <t>[ sh:class ad31:OrdreInstruction ]</t>
  </si>
  <si>
    <t>rico:followsInTime</t>
  </si>
  <si>
    <t>a suivi dans le temps</t>
  </si>
  <si>
    <t>Une instruction intervient après une autre instruction</t>
  </si>
  <si>
    <t>rico:precedesInTime</t>
  </si>
  <si>
    <t>a précédé dans le temps</t>
  </si>
  <si>
    <t>Une instruction intervient avant une autre instruction</t>
  </si>
  <si>
    <t>rico:isOrWasPerformedBy</t>
  </si>
  <si>
    <t>a été menée par</t>
  </si>
  <si>
    <t>Une instruction est menée par une juridiction</t>
  </si>
  <si>
    <t>sacs:Instruction_inverse_hasOrHadSubevent</t>
  </si>
  <si>
    <t>[sh:inversePath rico:hasOrHadSubevent]</t>
  </si>
  <si>
    <t>fait partie de</t>
  </si>
  <si>
    <t>Une instruction est l'instruction au sein d'une (et une seule) procédure</t>
  </si>
  <si>
    <t>nom</t>
  </si>
  <si>
    <t>Juridiction 1/2/3</t>
  </si>
  <si>
    <t>rico:hasOrHadLegalStatus</t>
  </si>
  <si>
    <t>avait pour type de juridiction</t>
  </si>
  <si>
    <t>Une juridiction a un type de juridiction</t>
  </si>
  <si>
    <t>rico:agentHasOrHadLocation</t>
  </si>
  <si>
    <t>avait pour localisation</t>
  </si>
  <si>
    <t>Une juridiction siège à un endroit donné. Dans des cas exceptionnel, une juridiction peut avoir 2 sièges indiqués.</t>
  </si>
  <si>
    <t>rico:hasOrHadCorporateBodyType</t>
  </si>
  <si>
    <t>a pour type de collectivité</t>
  </si>
  <si>
    <t>Vocabulaire type de collectivité</t>
  </si>
  <si>
    <t>type:cljur</t>
  </si>
  <si>
    <t>sacs:Juridiction_inverse_isOrWasPerformedBy</t>
  </si>
  <si>
    <t>[sh:inversePath rico:isOrWasPerformedBy]</t>
  </si>
  <si>
    <t>a mené</t>
  </si>
  <si>
    <t>La juridiction a mené une instruction</t>
  </si>
  <si>
    <t>sacs:Juridiction_inverse_hasOrganicProvenance</t>
  </si>
  <si>
    <t>[sh:inversePath rico:hasOrganicProvenance]</t>
  </si>
  <si>
    <t>a produit</t>
  </si>
  <si>
    <t>Une juridiction peut être producteur de sacs</t>
  </si>
  <si>
    <t>rico:hasCarrierType</t>
  </si>
  <si>
    <t>a pour type de support</t>
  </si>
  <si>
    <t>Vocabulaire type de support</t>
  </si>
  <si>
    <t>type:sulia</t>
  </si>
  <si>
    <t>rico:title</t>
  </si>
  <si>
    <t>intitulé</t>
  </si>
  <si>
    <t>Informations se trouvant sur le papillon qui accompagne parfois les paquets liés avec une corde</t>
  </si>
  <si>
    <t>rico:hadComponent</t>
  </si>
  <si>
    <t>a eu pour composant</t>
  </si>
  <si>
    <t>Chaque liasse comportait au moins 2 sacs</t>
  </si>
  <si>
    <t>rico:physicalCharacteristicsNote</t>
  </si>
  <si>
    <t>état des documents</t>
  </si>
  <si>
    <t>État de conservation des documents</t>
  </si>
  <si>
    <t>Nom du lieu</t>
  </si>
  <si>
    <t>rico:hasOrHadPlaceType</t>
  </si>
  <si>
    <t>a pour type de lieu</t>
  </si>
  <si>
    <t>Un lieu est catégorisé par un type de lieu</t>
  </si>
  <si>
    <t>rico:isDirectlyContainedBy</t>
  </si>
  <si>
    <t>est directement contenu par</t>
  </si>
  <si>
    <t>Un lieu est compris dans un autre lieu</t>
  </si>
  <si>
    <t>rico:directlyContains</t>
  </si>
  <si>
    <t>contient directement</t>
  </si>
  <si>
    <t>Un lieu comprend un autre lieu</t>
  </si>
  <si>
    <t>a pour code INSEE</t>
  </si>
  <si>
    <t>Un lieu peut avoir un code INSEE</t>
  </si>
  <si>
    <t>rico:geographicalCoordinates</t>
  </si>
  <si>
    <t>a pour coordonnées géographiques</t>
  </si>
  <si>
    <t>Un lieu peut avoir des coordonnées géographiques</t>
  </si>
  <si>
    <t>geosparql:wktLiteral</t>
  </si>
  <si>
    <t>core:MapProperty</t>
  </si>
  <si>
    <t>sacs:Lieu_inverse_hasOrHadLocation</t>
  </si>
  <si>
    <t>[sh:inversePath rico:hasOrHadLocation]</t>
  </si>
  <si>
    <t>est l'emplacement de</t>
  </si>
  <si>
    <t>sacs:Lieu_inverse_agentHasOrHadLocation</t>
  </si>
  <si>
    <t>[sh:inversePath rico:agentHasOrHadLocation]</t>
  </si>
  <si>
    <t>sacs:Juridiction; sacs:PersonnePhysique; sacs:PersonneMorale</t>
  </si>
  <si>
    <t>sacs:Procedure_hasActivityType_ActivityType</t>
  </si>
  <si>
    <t>[ sh:class rico:ActivityType ; sh:hasValue type:acpro ]</t>
  </si>
  <si>
    <t>sacs:Procedure_hasActivityType_ProcedureType</t>
  </si>
  <si>
    <t>a pour type de procédure</t>
  </si>
  <si>
    <t>Vocabulaire type de procédure</t>
  </si>
  <si>
    <t>[ sh:class ad31:TypeProcedure ]</t>
  </si>
  <si>
    <t>Description succincte de la procédure</t>
  </si>
  <si>
    <t>rico:resultsOrResultedFrom</t>
  </si>
  <si>
    <t>a résulté de</t>
  </si>
  <si>
    <t>Une procédure est ouverte suite à des faits</t>
  </si>
  <si>
    <t>rico:hasOrHadSubevent</t>
  </si>
  <si>
    <t>a eu pour instruction</t>
  </si>
  <si>
    <t>Une procédure est un ensemble d’instructions. Les instructions ne sont pas toujours connues, et il peut y avoir jusqu'à 3 instructions maximum par procédure.</t>
  </si>
  <si>
    <t>rico:isAssociatedWithEvent</t>
  </si>
  <si>
    <t>était liée à la procédure</t>
  </si>
  <si>
    <t>Une procédure peut être liée à une autre procédure</t>
  </si>
  <si>
    <t>rico:hasOrHadParticipant</t>
  </si>
  <si>
    <t>a impliqué</t>
  </si>
  <si>
    <t>Une procédure implique des parties</t>
  </si>
  <si>
    <t>sacs:PersonneMorale; sacs:PersonnePhysique</t>
  </si>
  <si>
    <t xml:space="preserve">rico:isOrWasParticipantIn </t>
  </si>
  <si>
    <t>était participant dans</t>
  </si>
  <si>
    <t>rico:hasBeginningDate</t>
  </si>
  <si>
    <t>date de début</t>
  </si>
  <si>
    <t>Date de début de la procédure</t>
  </si>
  <si>
    <t>rico:hasEndDate</t>
  </si>
  <si>
    <t>date de fin</t>
  </si>
  <si>
    <t>Date fin de la procédure</t>
  </si>
  <si>
    <t>sacs:Procedure_inverse_documents</t>
  </si>
  <si>
    <t>[sh:inversePath rico:documents]</t>
  </si>
  <si>
    <t>est documentée par</t>
  </si>
  <si>
    <t>Les procédures sont documentées par un sac et une notice de sac</t>
  </si>
  <si>
    <t>sacs:Notice; sacs:Sac</t>
  </si>
  <si>
    <t>Contient la valeur "Sac {cote}" (exemple "Sac 2 B 15815")</t>
  </si>
  <si>
    <t>type:susac</t>
  </si>
  <si>
    <t>rico:structure</t>
  </si>
  <si>
    <t>autres informations descriptives</t>
  </si>
  <si>
    <t>Caractéristiques matérielles du sac</t>
  </si>
  <si>
    <t>a pour cote</t>
  </si>
  <si>
    <t>Chaque sac a un, voire plusieurs identifiants uniques</t>
  </si>
  <si>
    <t>rico:wasComponentOf</t>
  </si>
  <si>
    <t>a été le composant de</t>
  </si>
  <si>
    <t>Les sacs peuvent être issus d’une liasse</t>
  </si>
  <si>
    <t>rico:isOrWasInstantiationOf</t>
  </si>
  <si>
    <t>est une instanciation de</t>
  </si>
  <si>
    <t>Les sacs sont le support d’un contenu informationnel</t>
  </si>
  <si>
    <t>rico:hasOrganicProvenance</t>
  </si>
  <si>
    <t>a été produit par</t>
  </si>
  <si>
    <t>Les sacs ont été produits par une ou plusieurs juridictions</t>
  </si>
  <si>
    <t>Nom de la personne morale</t>
  </si>
  <si>
    <t>avait pour type de collectivité</t>
  </si>
  <si>
    <t>Une personne morale est située à un endroit donné</t>
  </si>
  <si>
    <t>sacs:PersonneMorale_inverse_hasOrHadParticipant</t>
  </si>
  <si>
    <t>[sh:inversePath rico:hasOrHadParticipant]</t>
  </si>
  <si>
    <t>a été impliquée dans</t>
  </si>
  <si>
    <t>Une personne morale peut être impliquée dans une Procédure</t>
  </si>
  <si>
    <t>Nom de la personne physique</t>
  </si>
  <si>
    <t>rico:hasOrHadOccupationOfType</t>
  </si>
  <si>
    <t>avait pour type de profession</t>
  </si>
  <si>
    <t>Une personne physique a une profession</t>
  </si>
  <si>
    <t>rico:hasOrHadDemographicGroup</t>
  </si>
  <si>
    <t>avait pour sexe supposé</t>
  </si>
  <si>
    <t xml:space="preserve">Sexe de la personne physique </t>
  </si>
  <si>
    <t>sacs:PersonnePhysique_inverse_hasOrHadParticipant</t>
  </si>
  <si>
    <t>Une personne physique peut être impliquée dans une Procédure</t>
  </si>
  <si>
    <t>Contient la valeur "Lot {num_lot}" (exemple "Lot 43")</t>
  </si>
  <si>
    <t>type:actra</t>
  </si>
  <si>
    <t>rico:hasDirectSubevent</t>
  </si>
  <si>
    <t>a pour sous-événement direct</t>
  </si>
  <si>
    <t>sacs:Depouillement;sacs:Saisie;sacs:Validation</t>
  </si>
  <si>
    <t>rico:isAssociatedWithDate</t>
  </si>
  <si>
    <t>est associé à une date</t>
  </si>
  <si>
    <t>a pour numéro</t>
  </si>
  <si>
    <t>Le numéro du lot</t>
  </si>
  <si>
    <t>type:acdep</t>
  </si>
  <si>
    <t>ad31:isOrWasPerformedByAgentWithOccupationOfType</t>
  </si>
  <si>
    <t>est ou a été effectué par un agent exerçant une profession de type</t>
  </si>
  <si>
    <t>type:acsai</t>
  </si>
  <si>
    <t>ad31:saisieDirecte</t>
  </si>
  <si>
    <t>saisie directe</t>
  </si>
  <si>
    <t>xsd:boolean</t>
  </si>
  <si>
    <t>(type:acrel type:acval)</t>
  </si>
  <si>
    <t>Vocabulaires contrôlés - scheme</t>
  </si>
  <si>
    <t>skos:inScheme</t>
  </si>
  <si>
    <t>in scheme</t>
  </si>
  <si>
    <t>vocabulaire:ju</t>
  </si>
  <si>
    <t>vocabulaire:id</t>
  </si>
  <si>
    <t>vocabulaire:li</t>
  </si>
  <si>
    <t>vocabulaire:fa</t>
  </si>
  <si>
    <t>vocabulaire:pr</t>
  </si>
  <si>
    <t>vocabulaire:ac</t>
  </si>
  <si>
    <t>vocabulaire:su</t>
  </si>
  <si>
    <t>vocabulaire:sx</t>
  </si>
  <si>
    <t>vocabulaire:cl</t>
  </si>
  <si>
    <t>vocabulaire:pc</t>
  </si>
  <si>
    <t>vocabulaire:oi</t>
  </si>
  <si>
    <t>Vocabulaires contrôlés - prefLabel</t>
  </si>
  <si>
    <t>skos:prefLabel</t>
  </si>
  <si>
    <t>libellé</t>
  </si>
  <si>
    <t>dct:title@fr</t>
  </si>
  <si>
    <t>dct:description@fr</t>
  </si>
  <si>
    <t>Faits et lieux des faits</t>
  </si>
  <si>
    <t>Campagne</t>
  </si>
  <si>
    <t>^sh:sparql(separator=",")</t>
  </si>
  <si>
    <t>sh:message</t>
  </si>
  <si>
    <t>sh:select</t>
  </si>
  <si>
    <t>sacs:BusinessRule_1</t>
  </si>
  <si>
    <t>sh:SPARQLConstraint</t>
  </si>
  <si>
    <t>Les URI d'Identifiants doivent commencer par l'URI de leur objet</t>
  </si>
  <si>
    <t>L'URI d'un identifiant ne commence pas par l'URI de son objet</t>
  </si>
  <si>
    <t>PREFIX rico: &lt;https://www.ica.org/standards/RiC/ontology#&gt;
SELECT $this
WHERE {
  $this ^rico:hasOrHadIdentifier ?object .
  FILTER(!STRSTARTS(STR($this), STR(?object)))
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</si>
</sst>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0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u/>
      <sz val="11.0"/>
      <color theme="10"/>
      <name val="Calibri"/>
    </font>
    <font>
      <u/>
      <sz val="11.0"/>
      <color rgb="FF0563C1"/>
      <name val="Calibri"/>
    </font>
    <font>
      <b/>
      <color theme="1"/>
      <name val="Arial"/>
    </font>
    <font>
      <u/>
      <sz val="11.0"/>
      <color theme="10"/>
      <name val="Calibri"/>
    </font>
    <font>
      <u/>
      <sz val="11.0"/>
      <color theme="10"/>
      <name val="Calibri"/>
    </font>
    <font>
      <u/>
      <color rgb="FF0563C1"/>
    </font>
    <font>
      <u/>
      <color rgb="FF0000FF"/>
    </font>
    <font>
      <u/>
      <sz val="11.0"/>
      <color rgb="FF0563C1"/>
      <name val="Calibri"/>
    </font>
    <font>
      <sz val="11.0"/>
      <color theme="1"/>
      <name val="Arial"/>
    </font>
    <font>
      <u/>
      <color rgb="FF1155CC"/>
      <name val="Arial"/>
    </font>
    <font>
      <b/>
      <sz val="11.0"/>
      <color theme="1"/>
      <name val="Arial"/>
    </font>
    <font>
      <u/>
      <sz val="11.0"/>
      <color rgb="FF0000FF"/>
      <name val="Arial"/>
    </font>
    <font>
      <u/>
      <sz val="11.0"/>
      <color rgb="FF1155CC"/>
      <name val="Arial"/>
    </font>
    <font>
      <sz val="10.0"/>
      <color theme="1"/>
      <name val="Arial"/>
    </font>
    <font>
      <color theme="1"/>
      <name val="Arial"/>
    </font>
    <font>
      <color theme="1"/>
      <name val="Calibri"/>
    </font>
    <font>
      <u/>
      <color rgb="FF0563C1"/>
      <name val="Calibri"/>
      <scheme val="minor"/>
    </font>
    <font>
      <b/>
      <sz val="10.0"/>
      <color theme="1"/>
      <name val="Arial"/>
    </font>
    <font>
      <b/>
      <sz val="12.0"/>
      <color theme="1"/>
      <name val="Arial"/>
    </font>
    <font>
      <sz val="11.0"/>
      <color rgb="FF000000"/>
      <name val="Arial"/>
    </font>
    <font>
      <color rgb="FF000000"/>
      <name val="Arial"/>
    </font>
    <font>
      <color theme="1"/>
      <name val="Calibri"/>
      <scheme val="minor"/>
    </font>
    <font>
      <u/>
      <sz val="11.0"/>
      <color rgb="FF0000FF"/>
      <name val="Arial"/>
    </font>
    <font>
      <sz val="11.0"/>
      <color theme="1"/>
      <name val="Times New Roman"/>
    </font>
    <font>
      <u/>
      <color rgb="FF0000FF"/>
    </font>
    <font>
      <u/>
      <sz val="10.0"/>
      <color rgb="FF1155CC"/>
      <name val="Arial"/>
    </font>
    <font>
      <i/>
      <sz val="10.0"/>
      <color theme="1"/>
      <name val="Arial"/>
    </font>
    <font>
      <sz val="12.0"/>
      <color theme="1"/>
      <name val="Arial"/>
    </font>
    <font>
      <strike/>
      <sz val="11.0"/>
      <color theme="1"/>
      <name val="Arial"/>
    </font>
    <font>
      <strike/>
      <color rgb="FF000000"/>
      <name val="Arial"/>
    </font>
    <font>
      <strike/>
      <sz val="11.0"/>
      <color rgb="FF000000"/>
      <name val="Arial"/>
    </font>
    <font>
      <strike/>
      <color theme="1"/>
      <name val="Calibri"/>
      <scheme val="minor"/>
    </font>
    <font>
      <strike/>
      <sz val="12.0"/>
      <color theme="1"/>
      <name val="Arial"/>
    </font>
    <font>
      <sz val="11.0"/>
      <color rgb="FF000000"/>
      <name val="Sans-serif"/>
    </font>
    <font>
      <sz val="12.0"/>
      <color rgb="FF000000"/>
      <name val="Sans-serif"/>
    </font>
    <font>
      <sz val="11.0"/>
      <color rgb="FF000000"/>
      <name val="'Arial'"/>
    </font>
    <font>
      <b/>
      <color rgb="FF000000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6FA8DC"/>
        <bgColor rgb="FF6FA8DC"/>
      </patternFill>
    </fill>
    <fill>
      <patternFill patternType="solid">
        <fgColor rgb="FFE7EDDF"/>
        <bgColor rgb="FFE7EDDF"/>
      </patternFill>
    </fill>
    <fill>
      <patternFill patternType="solid">
        <fgColor rgb="FFDDE8CB"/>
        <bgColor rgb="FFDDE8CB"/>
      </patternFill>
    </fill>
    <fill>
      <patternFill patternType="solid">
        <fgColor rgb="FFB4C7DC"/>
        <bgColor rgb="FFB4C7DC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F7CAAC"/>
        <bgColor rgb="FFF7CAAC"/>
      </patternFill>
    </fill>
    <fill>
      <patternFill patternType="solid">
        <fgColor rgb="FFD9EAD3"/>
        <bgColor rgb="FFD9EAD3"/>
      </patternFill>
    </fill>
    <fill>
      <patternFill patternType="solid">
        <fgColor rgb="FFCCCCCC"/>
        <bgColor rgb="FFCCCCCC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4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Font="1"/>
    <xf borderId="0" fillId="0" fontId="2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5" numFmtId="0" xfId="0" applyAlignment="1" applyFont="1">
      <alignment vertical="top"/>
    </xf>
    <xf borderId="0" fillId="0" fontId="7" numFmtId="0" xfId="0" applyAlignment="1" applyFont="1">
      <alignment vertical="top"/>
    </xf>
    <xf borderId="0" fillId="2" fontId="2" numFmtId="0" xfId="0" applyFill="1" applyFont="1"/>
    <xf borderId="0" fillId="2" fontId="5" numFmtId="0" xfId="0" applyAlignment="1" applyFont="1">
      <alignment readingOrder="0" vertical="top"/>
    </xf>
    <xf borderId="0" fillId="2" fontId="8" numFmtId="0" xfId="0" applyAlignment="1" applyFont="1">
      <alignment readingOrder="0"/>
    </xf>
    <xf borderId="0" fillId="2" fontId="9" numFmtId="0" xfId="0" applyAlignment="1" applyFont="1">
      <alignment readingOrder="0"/>
    </xf>
    <xf borderId="0" fillId="2" fontId="2" numFmtId="0" xfId="0" applyAlignment="1" applyFont="1">
      <alignment readingOrder="0"/>
    </xf>
    <xf borderId="0" fillId="2" fontId="10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3" fontId="13" numFmtId="0" xfId="0" applyAlignment="1" applyFill="1" applyFont="1">
      <alignment vertical="bottom"/>
    </xf>
    <xf borderId="0" fillId="0" fontId="14" numFmtId="0" xfId="0" applyAlignment="1" applyFont="1">
      <alignment readingOrder="0" vertical="bottom"/>
    </xf>
    <xf borderId="0" fillId="4" fontId="13" numFmtId="0" xfId="0" applyAlignment="1" applyFill="1" applyFont="1">
      <alignment vertical="bottom"/>
    </xf>
    <xf borderId="0" fillId="0" fontId="15" numFmtId="0" xfId="0" applyAlignment="1" applyFont="1">
      <alignment vertical="bottom"/>
    </xf>
    <xf borderId="0" fillId="5" fontId="13" numFmtId="0" xfId="0" applyAlignment="1" applyFill="1" applyFont="1">
      <alignment vertical="bottom"/>
    </xf>
    <xf borderId="0" fillId="0" fontId="5" numFmtId="0" xfId="0" applyAlignment="1" applyFont="1">
      <alignment horizontal="right"/>
    </xf>
    <xf borderId="0" fillId="0" fontId="16" numFmtId="0" xfId="0" applyFont="1"/>
    <xf borderId="0" fillId="0" fontId="17" numFmtId="0" xfId="0" applyAlignment="1" applyFont="1">
      <alignment shrinkToFit="0" wrapText="1"/>
    </xf>
    <xf borderId="0" fillId="0" fontId="18" numFmtId="0" xfId="0" applyAlignment="1" applyFont="1">
      <alignment shrinkToFit="0" wrapText="1"/>
    </xf>
    <xf borderId="0" fillId="0" fontId="17" numFmtId="0" xfId="0" applyFont="1"/>
    <xf borderId="0" fillId="2" fontId="19" numFmtId="0" xfId="0" applyAlignment="1" applyFont="1">
      <alignment readingOrder="0"/>
    </xf>
    <xf borderId="0" fillId="0" fontId="18" numFmtId="0" xfId="0" applyFont="1"/>
    <xf borderId="1" fillId="6" fontId="18" numFmtId="0" xfId="0" applyBorder="1" applyFill="1" applyFont="1"/>
    <xf borderId="1" fillId="6" fontId="16" numFmtId="0" xfId="0" applyBorder="1" applyFont="1"/>
    <xf borderId="1" fillId="6" fontId="17" numFmtId="0" xfId="0" applyAlignment="1" applyBorder="1" applyFont="1">
      <alignment shrinkToFit="0" wrapText="1"/>
    </xf>
    <xf borderId="1" fillId="6" fontId="18" numFmtId="0" xfId="0" applyAlignment="1" applyBorder="1" applyFont="1">
      <alignment shrinkToFit="0" wrapText="1"/>
    </xf>
    <xf borderId="0" fillId="6" fontId="18" numFmtId="0" xfId="0" applyFont="1"/>
    <xf borderId="1" fillId="7" fontId="20" numFmtId="0" xfId="0" applyAlignment="1" applyBorder="1" applyFill="1" applyFont="1">
      <alignment horizontal="center" shrinkToFit="0" wrapText="1"/>
    </xf>
    <xf borderId="1" fillId="7" fontId="20" numFmtId="0" xfId="0" applyAlignment="1" applyBorder="1" applyFont="1">
      <alignment horizontal="center" readingOrder="0" shrinkToFit="0" wrapText="1"/>
    </xf>
    <xf borderId="0" fillId="7" fontId="20" numFmtId="0" xfId="0" applyAlignment="1" applyFont="1">
      <alignment horizontal="center" shrinkToFit="0" wrapText="1"/>
    </xf>
    <xf borderId="1" fillId="8" fontId="21" numFmtId="0" xfId="0" applyBorder="1" applyFill="1" applyFont="1"/>
    <xf borderId="1" fillId="8" fontId="16" numFmtId="0" xfId="0" applyBorder="1" applyFont="1"/>
    <xf borderId="1" fillId="8" fontId="16" numFmtId="0" xfId="0" applyAlignment="1" applyBorder="1" applyFont="1">
      <alignment shrinkToFit="0" wrapText="1"/>
    </xf>
    <xf borderId="0" fillId="8" fontId="16" numFmtId="0" xfId="0" applyFont="1"/>
    <xf borderId="0" fillId="2" fontId="17" numFmtId="0" xfId="0" applyAlignment="1" applyFont="1">
      <alignment readingOrder="0" vertical="top"/>
    </xf>
    <xf borderId="0" fillId="0" fontId="11" numFmtId="0" xfId="0" applyFont="1"/>
    <xf borderId="0" fillId="0" fontId="11" numFmtId="0" xfId="0" applyAlignment="1" applyFont="1">
      <alignment readingOrder="0"/>
    </xf>
    <xf borderId="0" fillId="0" fontId="22" numFmtId="0" xfId="0" applyAlignment="1" applyFont="1">
      <alignment readingOrder="0" shrinkToFit="0" wrapText="0"/>
    </xf>
    <xf borderId="0" fillId="0" fontId="11" numFmtId="0" xfId="0" applyAlignment="1" applyFont="1">
      <alignment horizontal="left" readingOrder="0"/>
    </xf>
    <xf borderId="0" fillId="0" fontId="11" numFmtId="0" xfId="0" applyAlignment="1" applyFont="1">
      <alignment horizontal="left" readingOrder="0" shrinkToFit="0" wrapText="1"/>
    </xf>
    <xf borderId="0" fillId="9" fontId="11" numFmtId="0" xfId="0" applyAlignment="1" applyFill="1" applyFont="1">
      <alignment readingOrder="0"/>
    </xf>
    <xf borderId="0" fillId="10" fontId="11" numFmtId="0" xfId="0" applyAlignment="1" applyFill="1" applyFont="1">
      <alignment readingOrder="0"/>
    </xf>
    <xf borderId="0" fillId="0" fontId="23" numFmtId="0" xfId="0" applyAlignment="1" applyFont="1">
      <alignment readingOrder="0" shrinkToFit="0" wrapText="1"/>
    </xf>
    <xf borderId="0" fillId="0" fontId="24" numFmtId="0" xfId="0" applyAlignment="1" applyFont="1">
      <alignment readingOrder="0"/>
    </xf>
    <xf borderId="0" fillId="0" fontId="11" numFmtId="0" xfId="0" applyAlignment="1" applyFont="1">
      <alignment shrinkToFit="0" wrapText="1"/>
    </xf>
    <xf borderId="1" fillId="8" fontId="11" numFmtId="0" xfId="0" applyBorder="1" applyFont="1"/>
    <xf borderId="1" fillId="8" fontId="11" numFmtId="0" xfId="0" applyAlignment="1" applyBorder="1" applyFont="1">
      <alignment shrinkToFit="0" wrapText="1"/>
    </xf>
    <xf borderId="0" fillId="0" fontId="11" numFmtId="0" xfId="0" applyAlignment="1" applyFont="1">
      <alignment horizontal="left"/>
    </xf>
    <xf borderId="0" fillId="0" fontId="25" numFmtId="0" xfId="0" applyAlignment="1" applyFont="1">
      <alignment readingOrder="0"/>
    </xf>
    <xf borderId="0" fillId="0" fontId="23" numFmtId="0" xfId="0" applyAlignment="1" applyFont="1">
      <alignment readingOrder="0" shrinkToFit="0" wrapText="0"/>
    </xf>
    <xf borderId="1" fillId="8" fontId="21" numFmtId="0" xfId="0" applyAlignment="1" applyBorder="1" applyFont="1">
      <alignment readingOrder="0"/>
    </xf>
    <xf borderId="0" fillId="9" fontId="23" numFmtId="0" xfId="0" applyAlignment="1" applyFont="1">
      <alignment readingOrder="0" shrinkToFit="0" wrapText="1"/>
    </xf>
    <xf borderId="0" fillId="0" fontId="11" numFmtId="0" xfId="0" applyAlignment="1" applyFont="1">
      <alignment horizontal="left" readingOrder="0" shrinkToFit="0" vertical="top" wrapText="1"/>
    </xf>
    <xf borderId="0" fillId="0" fontId="0" numFmtId="0" xfId="0" applyFont="1"/>
    <xf borderId="0" fillId="0" fontId="26" numFmtId="0" xfId="0" applyAlignment="1" applyFont="1">
      <alignment horizontal="left"/>
    </xf>
    <xf borderId="0" fillId="0" fontId="0" numFmtId="0" xfId="0" applyAlignment="1" applyFont="1">
      <alignment shrinkToFit="0" wrapText="1"/>
    </xf>
    <xf borderId="0" fillId="0" fontId="17" numFmtId="0" xfId="0" applyAlignment="1" applyFont="1">
      <alignment readingOrder="0" vertical="top"/>
    </xf>
    <xf borderId="0" fillId="0" fontId="23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24" numFmtId="0" xfId="0" applyAlignment="1" applyFont="1">
      <alignment shrinkToFit="0" wrapText="1"/>
    </xf>
    <xf borderId="0" fillId="0" fontId="11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11" numFmtId="0" xfId="0" applyAlignment="1" applyFont="1">
      <alignment vertical="bottom"/>
    </xf>
    <xf borderId="0" fillId="0" fontId="1" numFmtId="0" xfId="0" applyAlignment="1" applyFont="1">
      <alignment readingOrder="0" shrinkToFit="0" vertical="bottom" wrapText="1"/>
    </xf>
    <xf borderId="1" fillId="11" fontId="28" numFmtId="0" xfId="0" applyBorder="1" applyFill="1" applyFont="1"/>
    <xf borderId="0" fillId="0" fontId="20" numFmtId="0" xfId="0" applyAlignment="1" applyFont="1">
      <alignment shrinkToFit="0" wrapText="1"/>
    </xf>
    <xf borderId="0" fillId="0" fontId="16" numFmtId="0" xfId="0" applyAlignment="1" applyFont="1">
      <alignment shrinkToFit="0" wrapText="1"/>
    </xf>
    <xf borderId="0" fillId="12" fontId="1" numFmtId="0" xfId="0" applyAlignment="1" applyFill="1" applyFont="1">
      <alignment shrinkToFit="0" wrapText="1"/>
    </xf>
    <xf borderId="1" fillId="6" fontId="29" numFmtId="0" xfId="0" applyAlignment="1" applyBorder="1" applyFont="1">
      <alignment horizontal="center"/>
    </xf>
    <xf borderId="1" fillId="6" fontId="29" numFmtId="0" xfId="0" applyAlignment="1" applyBorder="1" applyFont="1">
      <alignment horizontal="center" shrinkToFit="0" wrapText="1"/>
    </xf>
    <xf borderId="1" fillId="6" fontId="29" numFmtId="0" xfId="0" applyAlignment="1" applyBorder="1" applyFont="1">
      <alignment horizontal="center" readingOrder="0"/>
    </xf>
    <xf borderId="1" fillId="12" fontId="29" numFmtId="0" xfId="0" applyAlignment="1" applyBorder="1" applyFont="1">
      <alignment horizontal="center" shrinkToFit="0" wrapText="1"/>
    </xf>
    <xf borderId="1" fillId="7" fontId="20" numFmtId="0" xfId="0" applyAlignment="1" applyBorder="1" applyFont="1">
      <alignment horizontal="center"/>
    </xf>
    <xf borderId="1" fillId="7" fontId="20" numFmtId="0" xfId="0" applyAlignment="1" applyBorder="1" applyFont="1">
      <alignment horizontal="center" readingOrder="0"/>
    </xf>
    <xf borderId="1" fillId="12" fontId="20" numFmtId="0" xfId="0" applyAlignment="1" applyBorder="1" applyFont="1">
      <alignment horizontal="center" shrinkToFit="0" wrapText="1"/>
    </xf>
    <xf borderId="1" fillId="8" fontId="13" numFmtId="0" xfId="0" applyAlignment="1" applyBorder="1" applyFont="1">
      <alignment readingOrder="0"/>
    </xf>
    <xf borderId="1" fillId="12" fontId="30" numFmtId="0" xfId="0" applyAlignment="1" applyBorder="1" applyFont="1">
      <alignment shrinkToFit="0" wrapText="1"/>
    </xf>
    <xf borderId="1" fillId="8" fontId="30" numFmtId="0" xfId="0" applyBorder="1" applyFont="1"/>
    <xf borderId="0" fillId="13" fontId="23" numFmtId="0" xfId="0" applyAlignment="1" applyFill="1" applyFont="1">
      <alignment readingOrder="0" shrinkToFit="0" wrapText="0"/>
    </xf>
    <xf borderId="0" fillId="12" fontId="30" numFmtId="0" xfId="0" applyAlignment="1" applyFont="1">
      <alignment shrinkToFit="0" wrapText="1"/>
    </xf>
    <xf borderId="0" fillId="0" fontId="30" numFmtId="0" xfId="0" applyFont="1"/>
    <xf borderId="0" fillId="0" fontId="11" numFmtId="0" xfId="0" applyAlignment="1" applyFont="1">
      <alignment horizontal="left" shrinkToFit="0" wrapText="1"/>
    </xf>
    <xf borderId="1" fillId="8" fontId="13" numFmtId="0" xfId="0" applyBorder="1" applyFont="1"/>
    <xf borderId="0" fillId="14" fontId="11" numFmtId="0" xfId="0" applyFill="1" applyFont="1"/>
    <xf borderId="0" fillId="14" fontId="11" numFmtId="0" xfId="0" applyAlignment="1" applyFont="1">
      <alignment horizontal="left" readingOrder="0"/>
    </xf>
    <xf borderId="0" fillId="14" fontId="11" numFmtId="0" xfId="0" applyAlignment="1" applyFont="1">
      <alignment readingOrder="0"/>
    </xf>
    <xf borderId="0" fillId="14" fontId="11" numFmtId="0" xfId="0" applyAlignment="1" applyFont="1">
      <alignment horizontal="left" readingOrder="0" shrinkToFit="0" wrapText="1"/>
    </xf>
    <xf borderId="0" fillId="14" fontId="23" numFmtId="0" xfId="0" applyAlignment="1" applyFont="1">
      <alignment readingOrder="0"/>
    </xf>
    <xf borderId="0" fillId="14" fontId="22" numFmtId="0" xfId="0" applyAlignment="1" applyFont="1">
      <alignment readingOrder="0" shrinkToFit="0" wrapText="0"/>
    </xf>
    <xf borderId="0" fillId="14" fontId="24" numFmtId="0" xfId="0" applyAlignment="1" applyFont="1">
      <alignment readingOrder="0"/>
    </xf>
    <xf borderId="0" fillId="14" fontId="23" numFmtId="0" xfId="0" applyAlignment="1" applyFont="1">
      <alignment readingOrder="0" shrinkToFit="0" wrapText="0"/>
    </xf>
    <xf borderId="0" fillId="14" fontId="30" numFmtId="0" xfId="0" applyAlignment="1" applyFont="1">
      <alignment readingOrder="0" shrinkToFit="0" wrapText="1"/>
    </xf>
    <xf borderId="0" fillId="14" fontId="30" numFmtId="0" xfId="0" applyFont="1"/>
    <xf borderId="0" fillId="12" fontId="30" numFmtId="0" xfId="0" applyAlignment="1" applyFont="1">
      <alignment readingOrder="0" shrinkToFit="0" wrapText="1"/>
    </xf>
    <xf borderId="0" fillId="14" fontId="11" numFmtId="0" xfId="0" applyAlignment="1" applyFont="1">
      <alignment horizontal="left"/>
    </xf>
    <xf borderId="0" fillId="14" fontId="30" numFmtId="0" xfId="0" applyAlignment="1" applyFont="1">
      <alignment shrinkToFit="0" wrapText="1"/>
    </xf>
    <xf borderId="0" fillId="15" fontId="31" numFmtId="0" xfId="0" applyFill="1" applyFont="1"/>
    <xf borderId="0" fillId="0" fontId="11" numFmtId="0" xfId="0" applyAlignment="1" applyFont="1">
      <alignment readingOrder="0" shrinkToFit="0" wrapText="1"/>
    </xf>
    <xf borderId="0" fillId="15" fontId="31" numFmtId="0" xfId="0" applyAlignment="1" applyFont="1">
      <alignment readingOrder="0"/>
    </xf>
    <xf borderId="0" fillId="15" fontId="31" numFmtId="0" xfId="0" applyAlignment="1" applyFont="1">
      <alignment horizontal="left" readingOrder="0"/>
    </xf>
    <xf borderId="0" fillId="15" fontId="31" numFmtId="0" xfId="0" applyAlignment="1" applyFont="1">
      <alignment horizontal="left"/>
    </xf>
    <xf borderId="0" fillId="15" fontId="31" numFmtId="0" xfId="0" applyAlignment="1" applyFont="1">
      <alignment horizontal="left" readingOrder="0" shrinkToFit="0" wrapText="1"/>
    </xf>
    <xf borderId="0" fillId="15" fontId="32" numFmtId="0" xfId="0" applyAlignment="1" applyFont="1">
      <alignment readingOrder="0"/>
    </xf>
    <xf borderId="0" fillId="15" fontId="33" numFmtId="0" xfId="0" applyAlignment="1" applyFont="1">
      <alignment readingOrder="0" shrinkToFit="0" wrapText="0"/>
    </xf>
    <xf borderId="0" fillId="15" fontId="34" numFmtId="0" xfId="0" applyFont="1"/>
    <xf borderId="0" fillId="15" fontId="32" numFmtId="0" xfId="0" applyAlignment="1" applyFont="1">
      <alignment readingOrder="0" shrinkToFit="0" wrapText="0"/>
    </xf>
    <xf borderId="0" fillId="15" fontId="35" numFmtId="0" xfId="0" applyAlignment="1" applyFont="1">
      <alignment shrinkToFit="0" wrapText="1"/>
    </xf>
    <xf borderId="0" fillId="15" fontId="35" numFmtId="0" xfId="0" applyFont="1"/>
    <xf borderId="0" fillId="16" fontId="36" numFmtId="0" xfId="0" applyAlignment="1" applyFill="1" applyFont="1">
      <alignment horizontal="left" readingOrder="0"/>
    </xf>
    <xf borderId="0" fillId="16" fontId="37" numFmtId="0" xfId="0" applyAlignment="1" applyFont="1">
      <alignment horizontal="left" readingOrder="0"/>
    </xf>
    <xf borderId="0" fillId="0" fontId="38" numFmtId="0" xfId="0" applyAlignment="1" applyFont="1">
      <alignment readingOrder="0"/>
    </xf>
    <xf borderId="0" fillId="15" fontId="33" numFmtId="0" xfId="0" applyAlignment="1" applyFont="1">
      <alignment horizontal="left" readingOrder="0"/>
    </xf>
    <xf borderId="0" fillId="17" fontId="23" numFmtId="0" xfId="0" applyAlignment="1" applyFill="1" applyFont="1">
      <alignment readingOrder="0"/>
    </xf>
    <xf borderId="0" fillId="0" fontId="31" numFmtId="0" xfId="0" applyFont="1"/>
    <xf borderId="0" fillId="0" fontId="31" numFmtId="0" xfId="0" applyAlignment="1" applyFont="1">
      <alignment shrinkToFit="0" wrapText="1"/>
    </xf>
    <xf borderId="0" fillId="12" fontId="35" numFmtId="0" xfId="0" applyAlignment="1" applyFont="1">
      <alignment shrinkToFit="0" wrapText="1"/>
    </xf>
    <xf borderId="0" fillId="0" fontId="35" numFmtId="0" xfId="0" applyFont="1"/>
    <xf borderId="0" fillId="0" fontId="1" numFmtId="0" xfId="0" applyAlignment="1" applyFont="1">
      <alignment vertical="bottom"/>
    </xf>
    <xf borderId="0" fillId="0" fontId="17" numFmtId="0" xfId="0" applyAlignment="1" applyFont="1">
      <alignment readingOrder="0" shrinkToFit="0" vertical="bottom" wrapText="1"/>
    </xf>
    <xf borderId="0" fillId="12" fontId="11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0" fillId="12" fontId="24" numFmtId="0" xfId="0" applyAlignment="1" applyFont="1">
      <alignment shrinkToFit="0" wrapText="1"/>
    </xf>
    <xf borderId="0" fillId="0" fontId="39" numFmtId="0" xfId="0" applyAlignment="1" applyFont="1">
      <alignment horizontal="right" readingOrder="0" shrinkToFit="0" wrapText="0"/>
    </xf>
    <xf borderId="0" fillId="0" fontId="23" numFmtId="0" xfId="0" applyAlignment="1" applyFont="1">
      <alignment shrinkToFit="0" vertical="bottom" wrapText="0"/>
    </xf>
    <xf borderId="0" fillId="0" fontId="23" numFmtId="0" xfId="0" applyFont="1"/>
    <xf borderId="0" fillId="7" fontId="39" numFmtId="0" xfId="0" applyAlignment="1" applyFont="1">
      <alignment horizontal="center" readingOrder="0" shrinkToFit="0" wrapText="0"/>
    </xf>
    <xf borderId="0" fillId="7" fontId="39" numFmtId="0" xfId="0" applyAlignment="1" applyFont="1">
      <alignment horizontal="center" readingOrder="0"/>
    </xf>
    <xf borderId="0" fillId="7" fontId="23" numFmtId="0" xfId="0" applyAlignment="1" applyFont="1">
      <alignment horizontal="center" shrinkToFit="0" vertical="bottom" wrapText="0"/>
    </xf>
    <xf borderId="0" fillId="0" fontId="23" numFmtId="0" xfId="0" applyAlignment="1" applyFont="1">
      <alignment readingOrder="0" shrinkToFit="0" vertical="bottom" wrapText="0"/>
    </xf>
    <xf borderId="0" fillId="0" fontId="23" numFmtId="0" xfId="0" applyAlignment="1" applyFont="1">
      <alignment vertical="bottom"/>
    </xf>
    <xf borderId="0" fillId="0" fontId="23" numFmtId="0" xfId="0" applyAlignment="1" applyFont="1">
      <alignment shrinkToFit="0" wrapText="1"/>
    </xf>
    <xf borderId="0" fillId="0" fontId="23" numFmtId="0" xfId="0" applyAlignment="1" applyFont="1">
      <alignment shrinkToFit="0" vertical="bottom" wrapText="1"/>
    </xf>
    <xf borderId="0" fillId="3" fontId="39" numFmtId="0" xfId="0" applyAlignment="1" applyFont="1">
      <alignment horizontal="center" readingOrder="0"/>
    </xf>
    <xf borderId="0" fillId="3" fontId="39" numFmtId="0" xfId="0" applyAlignment="1" applyFont="1">
      <alignment horizontal="center" readingOrder="0" shrinkToFit="0" wrapText="0"/>
    </xf>
    <xf borderId="0" fillId="3" fontId="39" numFmtId="0" xfId="0" applyAlignment="1" applyFont="1">
      <alignment horizontal="center" readingOrder="0" shrinkToFit="0" wrapText="1"/>
    </xf>
    <xf borderId="0" fillId="0" fontId="17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customschemas.google.com/relationships/workbookmetadata" Target="metadata"/><Relationship Id="rId10" Type="http://schemas.openxmlformats.org/officeDocument/2006/relationships/worksheet" Target="worksheets/sheet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www.w3.org/2001/XMLSchema" TargetMode="External"/><Relationship Id="rId10" Type="http://schemas.openxmlformats.org/officeDocument/2006/relationships/hyperlink" Target="http://data.sparna.fr/ontologies/volipi" TargetMode="External"/><Relationship Id="rId13" Type="http://schemas.openxmlformats.org/officeDocument/2006/relationships/hyperlink" Target="http://data.sparna.fr/ontologies/sparnatural-config-core" TargetMode="External"/><Relationship Id="rId12" Type="http://schemas.openxmlformats.org/officeDocument/2006/relationships/hyperlink" Target="http://www.opengis.net/ont/geosparql" TargetMode="External"/><Relationship Id="rId1" Type="http://schemas.openxmlformats.org/officeDocument/2006/relationships/hyperlink" Target="http://www.cidoc-crm.org/cidoc-crm/" TargetMode="External"/><Relationship Id="rId2" Type="http://schemas.openxmlformats.org/officeDocument/2006/relationships/hyperlink" Target="http://datashapes.org/dash" TargetMode="External"/><Relationship Id="rId3" Type="http://schemas.openxmlformats.org/officeDocument/2006/relationships/hyperlink" Target="http://iflastandards.info/ns/fr/frbr/frbroo/" TargetMode="External"/><Relationship Id="rId4" Type="http://schemas.openxmlformats.org/officeDocument/2006/relationships/hyperlink" Target="http://www.w3.org/2002/07/owl" TargetMode="External"/><Relationship Id="rId9" Type="http://schemas.openxmlformats.org/officeDocument/2006/relationships/hyperlink" Target="https://shacl-play.sparna.fr/ontology" TargetMode="External"/><Relationship Id="rId15" Type="http://schemas.openxmlformats.org/officeDocument/2006/relationships/hyperlink" Target="https://data.archives.haute-garonne.fr/vocabulaires/" TargetMode="External"/><Relationship Id="rId14" Type="http://schemas.openxmlformats.org/officeDocument/2006/relationships/hyperlink" Target="http://data.sparna.fr/ontologies/sparnatural-config-datasources" TargetMode="External"/><Relationship Id="rId17" Type="http://schemas.openxmlformats.org/officeDocument/2006/relationships/hyperlink" Target="https://data.archives.haute-garonne.fr/vocabulaires/" TargetMode="External"/><Relationship Id="rId16" Type="http://schemas.openxmlformats.org/officeDocument/2006/relationships/hyperlink" Target="https://data.archives.haute-garonne.fr/modeles/sacsaproces" TargetMode="External"/><Relationship Id="rId5" Type="http://schemas.openxmlformats.org/officeDocument/2006/relationships/hyperlink" Target="http://www.w3.org/1999/02/22-rdf-syntax-ns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://www.w3.org/2000/01/rdf-schema" TargetMode="External"/><Relationship Id="rId18" Type="http://schemas.openxmlformats.org/officeDocument/2006/relationships/hyperlink" Target="https://archives.haute-garonne.fr/" TargetMode="External"/><Relationship Id="rId7" Type="http://schemas.openxmlformats.org/officeDocument/2006/relationships/hyperlink" Target="https://www.ica.org/standards/RiC/ontology" TargetMode="External"/><Relationship Id="rId8" Type="http://schemas.openxmlformats.org/officeDocument/2006/relationships/hyperlink" Target="http://www.w3.org/ns/shacl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X6GqNxMBVkflrJGj2kAm-wYz0Ey7nEOt/export?format=xlsx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data.archives.haute-garonne.fr/concept/ac" TargetMode="External"/><Relationship Id="rId10" Type="http://schemas.openxmlformats.org/officeDocument/2006/relationships/hyperlink" Target="https://data.archives.haute-garonne.fr/concept/pr" TargetMode="External"/><Relationship Id="rId13" Type="http://schemas.openxmlformats.org/officeDocument/2006/relationships/hyperlink" Target="https://data.archives.haute-garonne.fr/concept/sx" TargetMode="External"/><Relationship Id="rId12" Type="http://schemas.openxmlformats.org/officeDocument/2006/relationships/hyperlink" Target="https://data.archives.haute-garonne.fr/concept/su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archives.haute-garonne.fr/" TargetMode="External"/><Relationship Id="rId3" Type="http://schemas.openxmlformats.org/officeDocument/2006/relationships/hyperlink" Target="https://data.archives.haute-garonne.fr/archive/ark:/" TargetMode="External"/><Relationship Id="rId4" Type="http://schemas.openxmlformats.org/officeDocument/2006/relationships/hyperlink" Target="https://data.archives.haute-garonne.fr/type/" TargetMode="External"/><Relationship Id="rId9" Type="http://schemas.openxmlformats.org/officeDocument/2006/relationships/hyperlink" Target="https://data.archives.haute-garonne.fr/concept/fa" TargetMode="External"/><Relationship Id="rId15" Type="http://schemas.openxmlformats.org/officeDocument/2006/relationships/hyperlink" Target="https://data.archives.haute-garonne.fr/concept/cl" TargetMode="External"/><Relationship Id="rId14" Type="http://schemas.openxmlformats.org/officeDocument/2006/relationships/hyperlink" Target="https://data.archives.haute-garonne.fr/concept/cl" TargetMode="External"/><Relationship Id="rId17" Type="http://schemas.openxmlformats.org/officeDocument/2006/relationships/hyperlink" Target="https://data.archives.haute-garonne.fr/type/oi" TargetMode="External"/><Relationship Id="rId16" Type="http://schemas.openxmlformats.org/officeDocument/2006/relationships/hyperlink" Target="https://data.archives.haute-garonne.fr/type/oi" TargetMode="External"/><Relationship Id="rId5" Type="http://schemas.openxmlformats.org/officeDocument/2006/relationships/hyperlink" Target="https://data.archives.haute-garonne.fr/type/" TargetMode="External"/><Relationship Id="rId19" Type="http://schemas.openxmlformats.org/officeDocument/2006/relationships/vmlDrawing" Target="../drawings/vmlDrawing1.vml"/><Relationship Id="rId6" Type="http://schemas.openxmlformats.org/officeDocument/2006/relationships/hyperlink" Target="https://data.archives.haute-garonne.fr/concept/ju" TargetMode="External"/><Relationship Id="rId18" Type="http://schemas.openxmlformats.org/officeDocument/2006/relationships/drawing" Target="../drawings/drawing3.xml"/><Relationship Id="rId7" Type="http://schemas.openxmlformats.org/officeDocument/2006/relationships/hyperlink" Target="https://data.archives.haute-garonne.fr/concept/ct" TargetMode="External"/><Relationship Id="rId8" Type="http://schemas.openxmlformats.org/officeDocument/2006/relationships/hyperlink" Target="https://data.archives.haute-garonne.fr/concept/li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archives.haute-garonne.fr/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2.71"/>
    <col customWidth="1" min="3" max="3" width="64.57"/>
    <col customWidth="1" min="4" max="26" width="8.71"/>
  </cols>
  <sheetData>
    <row r="1" ht="14.25" customHeight="1">
      <c r="A1" s="1"/>
      <c r="B1" s="1"/>
      <c r="C1" s="1"/>
    </row>
    <row r="2" ht="14.25" customHeight="1">
      <c r="A2" s="2" t="s">
        <v>0</v>
      </c>
      <c r="B2" s="2" t="s">
        <v>1</v>
      </c>
      <c r="C2" s="3" t="s">
        <v>2</v>
      </c>
    </row>
    <row r="3" ht="14.25" customHeight="1">
      <c r="A3" s="2" t="s">
        <v>0</v>
      </c>
      <c r="B3" s="2" t="s">
        <v>3</v>
      </c>
      <c r="C3" s="3" t="s">
        <v>4</v>
      </c>
    </row>
    <row r="4" ht="14.25" customHeight="1">
      <c r="A4" s="2" t="s">
        <v>0</v>
      </c>
      <c r="B4" s="2" t="s">
        <v>5</v>
      </c>
      <c r="C4" s="3" t="s">
        <v>6</v>
      </c>
    </row>
    <row r="5" ht="14.25" customHeight="1">
      <c r="A5" s="2" t="s">
        <v>0</v>
      </c>
      <c r="B5" s="2" t="s">
        <v>7</v>
      </c>
      <c r="C5" s="3" t="s">
        <v>8</v>
      </c>
    </row>
    <row r="6" ht="14.25" customHeight="1">
      <c r="A6" s="2" t="s">
        <v>0</v>
      </c>
      <c r="B6" s="2" t="s">
        <v>9</v>
      </c>
      <c r="C6" s="3" t="s">
        <v>10</v>
      </c>
    </row>
    <row r="7" ht="14.25" customHeight="1">
      <c r="A7" s="2" t="s">
        <v>0</v>
      </c>
      <c r="B7" s="2" t="s">
        <v>11</v>
      </c>
      <c r="C7" s="3" t="s">
        <v>12</v>
      </c>
    </row>
    <row r="8" ht="14.25" customHeight="1">
      <c r="A8" s="2" t="s">
        <v>0</v>
      </c>
      <c r="B8" s="2" t="s">
        <v>13</v>
      </c>
      <c r="C8" s="4" t="s">
        <v>14</v>
      </c>
    </row>
    <row r="9" ht="14.25" customHeight="1">
      <c r="A9" s="2" t="s">
        <v>0</v>
      </c>
      <c r="B9" s="2" t="s">
        <v>15</v>
      </c>
      <c r="C9" s="3" t="s">
        <v>16</v>
      </c>
    </row>
    <row r="10" ht="14.25" customHeight="1">
      <c r="A10" s="2" t="s">
        <v>0</v>
      </c>
      <c r="B10" s="5" t="s">
        <v>17</v>
      </c>
      <c r="C10" s="3" t="s">
        <v>18</v>
      </c>
    </row>
    <row r="11" ht="14.25" customHeight="1">
      <c r="A11" s="2" t="s">
        <v>0</v>
      </c>
      <c r="B11" s="2" t="s">
        <v>19</v>
      </c>
      <c r="C11" s="3" t="s">
        <v>20</v>
      </c>
    </row>
    <row r="12" ht="14.25" customHeight="1">
      <c r="A12" s="2" t="s">
        <v>0</v>
      </c>
      <c r="B12" s="2" t="s">
        <v>21</v>
      </c>
      <c r="C12" s="3" t="s">
        <v>22</v>
      </c>
    </row>
    <row r="13" ht="14.25" customHeight="1">
      <c r="A13" s="2" t="s">
        <v>0</v>
      </c>
      <c r="B13" s="6" t="s">
        <v>23</v>
      </c>
      <c r="C13" s="7" t="s">
        <v>24</v>
      </c>
    </row>
    <row r="14" ht="14.25" customHeight="1">
      <c r="A14" s="2" t="s">
        <v>0</v>
      </c>
      <c r="B14" s="8" t="s">
        <v>25</v>
      </c>
      <c r="C14" s="9" t="s">
        <v>26</v>
      </c>
    </row>
    <row r="15" ht="14.25" customHeight="1">
      <c r="A15" s="2" t="s">
        <v>0</v>
      </c>
      <c r="B15" s="8" t="s">
        <v>27</v>
      </c>
      <c r="C15" s="9" t="s">
        <v>28</v>
      </c>
    </row>
    <row r="16" ht="14.25" customHeight="1">
      <c r="A16" s="10" t="s">
        <v>0</v>
      </c>
      <c r="B16" s="11" t="s">
        <v>29</v>
      </c>
      <c r="C16" s="12" t="s">
        <v>30</v>
      </c>
    </row>
    <row r="17" ht="14.25" customHeight="1">
      <c r="A17" s="10" t="s">
        <v>0</v>
      </c>
      <c r="B17" s="11" t="s">
        <v>31</v>
      </c>
      <c r="C17" s="13" t="s">
        <v>32</v>
      </c>
    </row>
    <row r="18" ht="14.25" customHeight="1">
      <c r="A18" s="10" t="s">
        <v>0</v>
      </c>
      <c r="B18" s="11" t="s">
        <v>33</v>
      </c>
      <c r="C18" s="12" t="s">
        <v>34</v>
      </c>
    </row>
    <row r="19" ht="14.25" customHeight="1">
      <c r="A19" s="10" t="s">
        <v>0</v>
      </c>
      <c r="B19" s="14" t="s">
        <v>35</v>
      </c>
      <c r="C19" s="15" t="s">
        <v>36</v>
      </c>
    </row>
    <row r="20" ht="14.25" customHeight="1"/>
    <row r="21" ht="14.25" customHeight="1">
      <c r="A21" s="16"/>
      <c r="B21" s="17"/>
      <c r="C21" s="18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</hyperlinks>
  <printOptions/>
  <pageMargins bottom="0.7519685039370079" footer="0.0" header="0.0" left="0.7007874015748032" right="0.7007874015748032" top="0.7519685039370079"/>
  <pageSetup paperSize="9" orientation="portrait"/>
  <drawing r:id="rId1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0.14"/>
  </cols>
  <sheetData>
    <row r="1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20" t="s">
        <v>37</v>
      </c>
      <c r="B2" s="21" t="s">
        <v>38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A3" s="22" t="s">
        <v>39</v>
      </c>
      <c r="B3" s="23" t="str">
        <f>CONCATENATE("https://xls2rdf.sparna.fr/rest/convert?noPostProcessings=true&amp;url=",ENCODEURL(B2))</f>
        <v>https://xls2rdf.sparna.fr/rest/convert?noPostProcessings=true&amp;url=https%3A%2F%2Fdocs.google.com%2Fspreadsheets%2Fd%2F1X6GqNxMBVkflrJGj2kAm-wYz0Ey7nEOt%2Fexport%3Fformat%3Dxlsx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24" t="s">
        <v>40</v>
      </c>
      <c r="B4" s="23" t="str">
        <f>CONCATENATE("https://shacl-play.sparna.fr/play/doc?language=fr&amp;includeDiagram=true&amp;url=",ENCODEURL($B$3))</f>
        <v>https://shacl-play.sparna.fr/play/doc?language=fr&amp;includeDiagram=true&amp;url=https%3A%2F%2Fxls2rdf.sparna.fr%2Frest%2Fconvert%3FnoPostProcessings%3Dtrue%26url%3Dhttps%253A%252F%252Fdocs.google.com%252Fspreadsheets%252Fd%252F1X6GqNxMBVkflrJGj2kAm-wYz0Ey7nEOt%252Fexport%253Fformat%253Dxlsx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</sheetData>
  <hyperlinks>
    <hyperlink r:id="rId1" ref="B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41.43"/>
    <col customWidth="1" min="2" max="2" width="23.86"/>
    <col customWidth="1" min="3" max="3" width="29.86"/>
    <col customWidth="1" min="4" max="5" width="23.86"/>
    <col customWidth="1" min="6" max="6" width="29.0"/>
    <col customWidth="1" min="7" max="7" width="74.29"/>
    <col customWidth="1" min="8" max="9" width="23.86"/>
    <col customWidth="1" min="10" max="10" width="39.57"/>
    <col customWidth="1" min="11" max="11" width="37.71"/>
    <col customWidth="1" min="12" max="12" width="18.0"/>
    <col customWidth="1" min="13" max="13" width="151.29"/>
    <col customWidth="1" min="14" max="14" width="52.29"/>
    <col customWidth="1" min="15" max="16" width="29.14"/>
    <col customWidth="1" min="17" max="19" width="23.86"/>
    <col customWidth="1" min="20" max="42" width="8.71"/>
  </cols>
  <sheetData>
    <row r="1" ht="14.25" customHeight="1">
      <c r="A1" s="25" t="s">
        <v>41</v>
      </c>
      <c r="B1" s="12" t="s">
        <v>42</v>
      </c>
      <c r="C1" s="1"/>
      <c r="D1" s="1"/>
      <c r="E1" s="26"/>
      <c r="F1" s="1"/>
      <c r="G1" s="1"/>
      <c r="H1" s="1"/>
      <c r="I1" s="27"/>
      <c r="J1" s="27"/>
      <c r="K1" s="1"/>
      <c r="L1" s="1"/>
      <c r="M1" s="1"/>
      <c r="N1" s="28"/>
      <c r="O1" s="28"/>
      <c r="P1" s="28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ht="14.25" customHeight="1">
      <c r="A2" s="29" t="s">
        <v>43</v>
      </c>
      <c r="B2" s="30" t="s">
        <v>44</v>
      </c>
      <c r="C2" s="1"/>
      <c r="D2" s="1"/>
      <c r="E2" s="26"/>
      <c r="F2" s="1"/>
      <c r="G2" s="1"/>
      <c r="H2" s="1"/>
      <c r="I2" s="27"/>
      <c r="J2" s="27"/>
      <c r="K2" s="1"/>
      <c r="L2" s="1"/>
      <c r="M2" s="1"/>
      <c r="N2" s="28"/>
      <c r="O2" s="28"/>
      <c r="P2" s="2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ht="14.25" customHeight="1">
      <c r="A3" s="29" t="s">
        <v>45</v>
      </c>
      <c r="B3" s="30" t="s">
        <v>46</v>
      </c>
      <c r="C3" s="1"/>
      <c r="D3" s="1"/>
      <c r="E3" s="26"/>
      <c r="F3" s="1"/>
      <c r="G3" s="1"/>
      <c r="H3" s="1"/>
      <c r="I3" s="27"/>
      <c r="J3" s="27"/>
      <c r="K3" s="1"/>
      <c r="L3" s="1"/>
      <c r="M3" s="1"/>
      <c r="N3" s="28"/>
      <c r="O3" s="28"/>
      <c r="P3" s="28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ht="14.25" customHeight="1">
      <c r="A4" s="29" t="s">
        <v>47</v>
      </c>
      <c r="B4" s="30"/>
      <c r="C4" s="1"/>
      <c r="D4" s="1"/>
      <c r="E4" s="26"/>
      <c r="F4" s="1"/>
      <c r="G4" s="1"/>
      <c r="H4" s="1"/>
      <c r="I4" s="27"/>
      <c r="J4" s="27"/>
      <c r="K4" s="1"/>
      <c r="L4" s="1"/>
      <c r="M4" s="1"/>
      <c r="N4" s="28"/>
      <c r="O4" s="28"/>
      <c r="P4" s="28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ht="14.25" customHeight="1">
      <c r="A5" s="29" t="s">
        <v>48</v>
      </c>
      <c r="B5" s="30" t="s">
        <v>49</v>
      </c>
      <c r="C5" s="1"/>
      <c r="D5" s="1"/>
      <c r="E5" s="26"/>
      <c r="F5" s="1"/>
      <c r="G5" s="1"/>
      <c r="H5" s="1"/>
      <c r="I5" s="27"/>
      <c r="J5" s="27"/>
      <c r="K5" s="1"/>
      <c r="L5" s="1"/>
      <c r="M5" s="1"/>
      <c r="N5" s="28"/>
      <c r="O5" s="28"/>
      <c r="P5" s="28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</row>
    <row r="6" ht="14.25" customHeight="1">
      <c r="A6" s="29" t="s">
        <v>50</v>
      </c>
      <c r="B6" s="30" t="s">
        <v>51</v>
      </c>
      <c r="C6" s="1"/>
      <c r="D6" s="1"/>
      <c r="E6" s="26"/>
      <c r="F6" s="1"/>
      <c r="G6" s="1"/>
      <c r="H6" s="1"/>
      <c r="I6" s="27"/>
      <c r="J6" s="27"/>
      <c r="K6" s="1"/>
      <c r="L6" s="1"/>
      <c r="M6" s="1"/>
      <c r="N6" s="28"/>
      <c r="O6" s="28"/>
      <c r="P6" s="28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</row>
    <row r="7" ht="14.25" customHeight="1">
      <c r="A7" s="29"/>
      <c r="B7" s="31"/>
      <c r="C7" s="31"/>
      <c r="D7" s="31"/>
      <c r="E7" s="26"/>
      <c r="F7" s="1"/>
      <c r="G7" s="1"/>
      <c r="H7" s="1"/>
      <c r="I7" s="27"/>
      <c r="J7" s="27"/>
      <c r="K7" s="1"/>
      <c r="L7" s="1"/>
      <c r="M7" s="1"/>
      <c r="N7" s="28"/>
      <c r="O7" s="28"/>
      <c r="P7" s="28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</row>
    <row r="8" ht="14.25" customHeight="1">
      <c r="A8" s="1"/>
      <c r="B8" s="26"/>
      <c r="C8" s="26"/>
      <c r="D8" s="26"/>
      <c r="E8" s="26"/>
      <c r="F8" s="1"/>
      <c r="G8" s="1"/>
      <c r="H8" s="1"/>
      <c r="I8" s="27"/>
      <c r="J8" s="27"/>
      <c r="K8" s="1"/>
      <c r="L8" s="1"/>
      <c r="M8" s="1"/>
      <c r="N8" s="28"/>
      <c r="O8" s="28"/>
      <c r="P8" s="28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</row>
    <row r="9" ht="14.25" customHeight="1">
      <c r="A9" s="1"/>
      <c r="B9" s="26"/>
      <c r="C9" s="26"/>
      <c r="D9" s="26"/>
      <c r="E9" s="26"/>
      <c r="F9" s="1"/>
      <c r="G9" s="1"/>
      <c r="H9" s="1"/>
      <c r="I9" s="27"/>
      <c r="J9" s="27"/>
      <c r="K9" s="1"/>
      <c r="L9" s="1"/>
      <c r="M9" s="1"/>
      <c r="N9" s="28"/>
      <c r="O9" s="28"/>
      <c r="P9" s="28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</row>
    <row r="10" ht="14.25" customHeight="1">
      <c r="A10" s="32"/>
      <c r="B10" s="33"/>
      <c r="C10" s="33"/>
      <c r="D10" s="33"/>
      <c r="E10" s="33"/>
      <c r="F10" s="32"/>
      <c r="G10" s="32"/>
      <c r="H10" s="32"/>
      <c r="I10" s="34"/>
      <c r="J10" s="34"/>
      <c r="K10" s="32"/>
      <c r="L10" s="32"/>
      <c r="M10" s="32"/>
      <c r="N10" s="35"/>
      <c r="O10" s="35"/>
      <c r="P10" s="35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6"/>
      <c r="AO10" s="36"/>
      <c r="AP10" s="36"/>
    </row>
    <row r="11" ht="14.25" customHeight="1">
      <c r="A11" s="37" t="s">
        <v>52</v>
      </c>
      <c r="B11" s="37" t="s">
        <v>53</v>
      </c>
      <c r="C11" s="37" t="s">
        <v>54</v>
      </c>
      <c r="D11" s="37" t="s">
        <v>55</v>
      </c>
      <c r="E11" s="37" t="s">
        <v>56</v>
      </c>
      <c r="F11" s="37" t="s">
        <v>57</v>
      </c>
      <c r="G11" s="37" t="s">
        <v>58</v>
      </c>
      <c r="H11" s="37" t="s">
        <v>59</v>
      </c>
      <c r="I11" s="37" t="s">
        <v>60</v>
      </c>
      <c r="J11" s="37" t="s">
        <v>61</v>
      </c>
      <c r="K11" s="37" t="s">
        <v>62</v>
      </c>
      <c r="L11" s="38" t="s">
        <v>63</v>
      </c>
      <c r="M11" s="37" t="s">
        <v>64</v>
      </c>
      <c r="N11" s="37" t="s">
        <v>65</v>
      </c>
      <c r="O11" s="38" t="s">
        <v>66</v>
      </c>
      <c r="P11" s="38" t="s">
        <v>67</v>
      </c>
      <c r="Q11" s="37" t="s">
        <v>68</v>
      </c>
      <c r="R11" s="37" t="s">
        <v>69</v>
      </c>
      <c r="S11" s="37" t="s">
        <v>70</v>
      </c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9"/>
      <c r="AO11" s="39"/>
      <c r="AP11" s="39"/>
    </row>
    <row r="12" ht="14.25" customHeight="1">
      <c r="A12" s="40" t="s">
        <v>71</v>
      </c>
      <c r="B12" s="41"/>
      <c r="C12" s="41"/>
      <c r="D12" s="41"/>
      <c r="E12" s="42"/>
      <c r="F12" s="41"/>
      <c r="G12" s="41"/>
      <c r="H12" s="41"/>
      <c r="I12" s="42"/>
      <c r="J12" s="42"/>
      <c r="K12" s="41"/>
      <c r="L12" s="41"/>
      <c r="M12" s="41"/>
      <c r="N12" s="42"/>
      <c r="O12" s="42"/>
      <c r="P12" s="42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3"/>
      <c r="AO12" s="43"/>
      <c r="AP12" s="43"/>
    </row>
    <row r="13" ht="14.25" customHeight="1">
      <c r="A13" s="44" t="s">
        <v>72</v>
      </c>
      <c r="B13" s="45"/>
      <c r="C13" s="46" t="s">
        <v>73</v>
      </c>
      <c r="D13" s="47" t="s">
        <v>74</v>
      </c>
      <c r="E13" s="48" t="s">
        <v>75</v>
      </c>
      <c r="F13" s="45"/>
      <c r="G13" s="45"/>
      <c r="H13" s="48" t="s">
        <v>76</v>
      </c>
      <c r="I13" s="45"/>
      <c r="J13" s="49" t="s">
        <v>77</v>
      </c>
      <c r="K13" s="50"/>
      <c r="L13" s="46" t="s">
        <v>78</v>
      </c>
      <c r="M13" s="51" t="s">
        <v>79</v>
      </c>
      <c r="N13" s="52" t="s">
        <v>80</v>
      </c>
      <c r="O13" s="52" t="b">
        <v>1</v>
      </c>
      <c r="P13" s="52" t="s">
        <v>81</v>
      </c>
      <c r="Q13" s="53" t="s">
        <v>82</v>
      </c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</row>
    <row r="14" ht="14.25" customHeight="1">
      <c r="B14" s="45"/>
      <c r="C14" s="45"/>
      <c r="D14" s="45"/>
      <c r="E14" s="45"/>
      <c r="F14" s="45"/>
      <c r="G14" s="45"/>
      <c r="H14" s="45"/>
      <c r="I14" s="45"/>
      <c r="J14" s="54"/>
      <c r="K14" s="45"/>
      <c r="L14" s="45"/>
      <c r="M14" s="45"/>
      <c r="N14" s="54"/>
      <c r="O14" s="54"/>
      <c r="P14" s="54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</row>
    <row r="15" ht="14.25" customHeight="1">
      <c r="A15" s="40" t="s">
        <v>83</v>
      </c>
      <c r="B15" s="41"/>
      <c r="C15" s="41"/>
      <c r="D15" s="55"/>
      <c r="E15" s="56"/>
      <c r="F15" s="55"/>
      <c r="G15" s="55"/>
      <c r="H15" s="55"/>
      <c r="I15" s="56"/>
      <c r="J15" s="56"/>
      <c r="K15" s="55"/>
      <c r="L15" s="55"/>
      <c r="M15" s="55"/>
      <c r="N15" s="56"/>
      <c r="O15" s="56"/>
      <c r="P15" s="56"/>
      <c r="Q15" s="55"/>
      <c r="R15" s="55"/>
      <c r="S15" s="55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3"/>
      <c r="AO15" s="43"/>
      <c r="AP15" s="43"/>
    </row>
    <row r="16" ht="14.25" customHeight="1">
      <c r="A16" s="44" t="s">
        <v>84</v>
      </c>
      <c r="B16" s="45"/>
      <c r="C16" s="46" t="s">
        <v>85</v>
      </c>
      <c r="D16" s="47" t="s">
        <v>74</v>
      </c>
      <c r="E16" s="57" t="s">
        <v>86</v>
      </c>
      <c r="F16" s="45"/>
      <c r="G16" s="45"/>
      <c r="H16" s="48" t="s">
        <v>83</v>
      </c>
      <c r="I16" s="45"/>
      <c r="J16" s="49" t="s">
        <v>87</v>
      </c>
      <c r="K16" s="50"/>
      <c r="L16" s="46" t="s">
        <v>78</v>
      </c>
      <c r="M16" s="46" t="s">
        <v>88</v>
      </c>
      <c r="N16" s="52" t="s">
        <v>89</v>
      </c>
      <c r="O16" s="52" t="b">
        <v>1</v>
      </c>
      <c r="P16" s="52" t="s">
        <v>81</v>
      </c>
      <c r="Q16" s="46" t="s">
        <v>90</v>
      </c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</row>
    <row r="17" ht="14.25" customHeight="1">
      <c r="A17" s="45"/>
      <c r="B17" s="45"/>
      <c r="C17" s="45"/>
      <c r="D17" s="45"/>
      <c r="E17" s="45"/>
      <c r="F17" s="45"/>
      <c r="G17" s="45"/>
      <c r="H17" s="45"/>
      <c r="I17" s="45"/>
      <c r="J17" s="54"/>
      <c r="K17" s="45"/>
      <c r="L17" s="45"/>
      <c r="M17" s="45"/>
      <c r="N17" s="54"/>
      <c r="O17" s="54"/>
      <c r="P17" s="54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</row>
    <row r="18" ht="14.25" customHeight="1">
      <c r="A18" s="40" t="s">
        <v>91</v>
      </c>
      <c r="B18" s="41"/>
      <c r="C18" s="41"/>
      <c r="D18" s="55"/>
      <c r="E18" s="56"/>
      <c r="F18" s="55"/>
      <c r="G18" s="55"/>
      <c r="H18" s="55"/>
      <c r="I18" s="56"/>
      <c r="J18" s="56"/>
      <c r="K18" s="55"/>
      <c r="L18" s="55"/>
      <c r="M18" s="55"/>
      <c r="N18" s="56"/>
      <c r="O18" s="56"/>
      <c r="P18" s="56"/>
      <c r="Q18" s="55"/>
      <c r="R18" s="55"/>
      <c r="S18" s="55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3"/>
      <c r="AO18" s="43"/>
      <c r="AP18" s="43"/>
    </row>
    <row r="19" ht="14.25" customHeight="1">
      <c r="A19" s="44" t="s">
        <v>92</v>
      </c>
      <c r="B19" s="45"/>
      <c r="C19" s="46" t="s">
        <v>93</v>
      </c>
      <c r="D19" s="47" t="s">
        <v>74</v>
      </c>
      <c r="E19" s="48" t="s">
        <v>94</v>
      </c>
      <c r="F19" s="45"/>
      <c r="G19" s="45"/>
      <c r="H19" s="48" t="s">
        <v>95</v>
      </c>
      <c r="I19" s="45"/>
      <c r="J19" s="49" t="s">
        <v>96</v>
      </c>
      <c r="K19" s="45"/>
      <c r="L19" s="46" t="s">
        <v>78</v>
      </c>
      <c r="M19" s="58" t="s">
        <v>97</v>
      </c>
      <c r="N19" s="52" t="s">
        <v>80</v>
      </c>
      <c r="O19" s="52" t="b">
        <v>1</v>
      </c>
      <c r="P19" s="52" t="s">
        <v>81</v>
      </c>
      <c r="Q19" s="46" t="s">
        <v>98</v>
      </c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</row>
    <row r="20" ht="14.25" customHeight="1">
      <c r="A20" s="45"/>
      <c r="B20" s="45"/>
      <c r="C20" s="45"/>
      <c r="D20" s="45"/>
      <c r="E20" s="45"/>
      <c r="F20" s="45"/>
      <c r="G20" s="45"/>
      <c r="H20" s="45"/>
      <c r="I20" s="45"/>
      <c r="J20" s="54"/>
      <c r="K20" s="45"/>
      <c r="L20" s="45"/>
      <c r="M20" s="45"/>
      <c r="N20" s="54"/>
      <c r="O20" s="54"/>
      <c r="P20" s="54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</row>
    <row r="21" ht="14.25" customHeight="1">
      <c r="A21" s="40" t="s">
        <v>99</v>
      </c>
      <c r="B21" s="41"/>
      <c r="C21" s="41"/>
      <c r="D21" s="55"/>
      <c r="E21" s="56"/>
      <c r="F21" s="55"/>
      <c r="G21" s="55"/>
      <c r="H21" s="55"/>
      <c r="I21" s="56"/>
      <c r="J21" s="56"/>
      <c r="K21" s="55"/>
      <c r="L21" s="55"/>
      <c r="M21" s="55"/>
      <c r="N21" s="56"/>
      <c r="O21" s="56"/>
      <c r="P21" s="56"/>
      <c r="Q21" s="55"/>
      <c r="R21" s="55"/>
      <c r="S21" s="55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3"/>
      <c r="AO21" s="43"/>
      <c r="AP21" s="43"/>
    </row>
    <row r="22" ht="14.25" customHeight="1">
      <c r="A22" s="44" t="s">
        <v>100</v>
      </c>
      <c r="B22" s="45"/>
      <c r="C22" s="46" t="s">
        <v>101</v>
      </c>
      <c r="D22" s="47" t="s">
        <v>74</v>
      </c>
      <c r="E22" s="57" t="s">
        <v>102</v>
      </c>
      <c r="F22" s="45"/>
      <c r="G22" s="45"/>
      <c r="H22" s="48" t="s">
        <v>103</v>
      </c>
      <c r="I22" s="45"/>
      <c r="J22" s="49" t="s">
        <v>104</v>
      </c>
      <c r="K22" s="45"/>
      <c r="L22" s="46" t="s">
        <v>78</v>
      </c>
      <c r="M22" s="46" t="s">
        <v>105</v>
      </c>
      <c r="N22" s="59" t="s">
        <v>106</v>
      </c>
      <c r="O22" s="52" t="b">
        <v>1</v>
      </c>
      <c r="P22" s="52" t="s">
        <v>81</v>
      </c>
      <c r="Q22" s="46" t="s">
        <v>107</v>
      </c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</row>
    <row r="23" ht="14.25" customHeight="1">
      <c r="A23" s="45"/>
      <c r="B23" s="45"/>
      <c r="C23" s="45"/>
      <c r="D23" s="45"/>
      <c r="E23" s="45"/>
      <c r="F23" s="45"/>
      <c r="G23" s="45"/>
      <c r="H23" s="45"/>
      <c r="I23" s="45"/>
      <c r="J23" s="54"/>
      <c r="K23" s="45"/>
      <c r="L23" s="45"/>
      <c r="M23" s="45"/>
      <c r="N23" s="54"/>
      <c r="O23" s="54"/>
      <c r="P23" s="54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</row>
    <row r="24" ht="14.25" customHeight="1">
      <c r="A24" s="40" t="s">
        <v>108</v>
      </c>
      <c r="B24" s="41"/>
      <c r="C24" s="41"/>
      <c r="D24" s="55"/>
      <c r="E24" s="56"/>
      <c r="F24" s="55"/>
      <c r="G24" s="55"/>
      <c r="H24" s="55"/>
      <c r="I24" s="56"/>
      <c r="J24" s="56"/>
      <c r="K24" s="55"/>
      <c r="L24" s="55"/>
      <c r="M24" s="55"/>
      <c r="N24" s="56"/>
      <c r="O24" s="56"/>
      <c r="P24" s="56"/>
      <c r="Q24" s="55"/>
      <c r="R24" s="55"/>
      <c r="S24" s="55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3"/>
      <c r="AO24" s="43"/>
      <c r="AP24" s="43"/>
    </row>
    <row r="25" ht="14.25" customHeight="1">
      <c r="A25" s="44" t="s">
        <v>109</v>
      </c>
      <c r="B25" s="45"/>
      <c r="C25" s="46" t="s">
        <v>110</v>
      </c>
      <c r="D25" s="47" t="s">
        <v>74</v>
      </c>
      <c r="E25" s="48"/>
      <c r="F25" s="45" t="str">
        <f>CONCATENATE(A25,"-target")</f>
        <v>sacs:Instruction-target</v>
      </c>
      <c r="G25" s="46" t="s">
        <v>111</v>
      </c>
      <c r="H25" s="48" t="s">
        <v>108</v>
      </c>
      <c r="I25" s="45"/>
      <c r="J25" s="49" t="s">
        <v>112</v>
      </c>
      <c r="K25" s="45"/>
      <c r="L25" s="46" t="s">
        <v>78</v>
      </c>
      <c r="M25" s="46" t="s">
        <v>105</v>
      </c>
      <c r="N25" s="52" t="s">
        <v>89</v>
      </c>
      <c r="O25" s="52" t="b">
        <v>1</v>
      </c>
      <c r="P25" s="52" t="s">
        <v>81</v>
      </c>
      <c r="Q25" s="46" t="s">
        <v>107</v>
      </c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</row>
    <row r="26" ht="14.25" customHeight="1">
      <c r="A26" s="45"/>
      <c r="B26" s="45"/>
      <c r="C26" s="45"/>
      <c r="D26" s="45"/>
      <c r="E26" s="45"/>
      <c r="F26" s="45"/>
      <c r="G26" s="45"/>
      <c r="H26" s="45"/>
      <c r="I26" s="45"/>
      <c r="J26" s="54"/>
      <c r="K26" s="45"/>
      <c r="L26" s="45"/>
      <c r="M26" s="45"/>
      <c r="N26" s="54"/>
      <c r="O26" s="54"/>
      <c r="P26" s="54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</row>
    <row r="27" ht="14.25" customHeight="1">
      <c r="A27" s="40" t="s">
        <v>113</v>
      </c>
      <c r="B27" s="41"/>
      <c r="C27" s="41"/>
      <c r="D27" s="55"/>
      <c r="E27" s="56"/>
      <c r="F27" s="55"/>
      <c r="G27" s="55"/>
      <c r="H27" s="55"/>
      <c r="I27" s="56"/>
      <c r="J27" s="56"/>
      <c r="K27" s="55"/>
      <c r="L27" s="55"/>
      <c r="M27" s="55"/>
      <c r="N27" s="56"/>
      <c r="O27" s="56"/>
      <c r="P27" s="56"/>
      <c r="Q27" s="55"/>
      <c r="R27" s="55"/>
      <c r="S27" s="55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3"/>
      <c r="AO27" s="43"/>
      <c r="AP27" s="43"/>
    </row>
    <row r="28" ht="14.25" customHeight="1">
      <c r="A28" s="44" t="s">
        <v>114</v>
      </c>
      <c r="B28" s="45"/>
      <c r="C28" s="46" t="s">
        <v>115</v>
      </c>
      <c r="D28" s="47" t="s">
        <v>74</v>
      </c>
      <c r="E28" s="48"/>
      <c r="F28" s="45" t="str">
        <f>CONCATENATE(A28,"-target")</f>
        <v>sacs:Juridiction-target</v>
      </c>
      <c r="G28" s="58" t="s">
        <v>116</v>
      </c>
      <c r="H28" s="48" t="s">
        <v>113</v>
      </c>
      <c r="I28" s="45"/>
      <c r="J28" s="49" t="s">
        <v>117</v>
      </c>
      <c r="K28" s="45"/>
      <c r="L28" s="46" t="s">
        <v>78</v>
      </c>
      <c r="M28" s="46" t="s">
        <v>118</v>
      </c>
      <c r="N28" s="52" t="s">
        <v>89</v>
      </c>
      <c r="O28" s="52" t="b">
        <v>1</v>
      </c>
      <c r="P28" s="52" t="s">
        <v>81</v>
      </c>
      <c r="Q28" s="46" t="s">
        <v>119</v>
      </c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</row>
    <row r="29" ht="14.25" customHeight="1">
      <c r="A29" s="45"/>
      <c r="B29" s="45"/>
      <c r="C29" s="45"/>
      <c r="D29" s="45"/>
      <c r="E29" s="45"/>
      <c r="F29" s="45"/>
      <c r="G29" s="45"/>
      <c r="H29" s="45"/>
      <c r="I29" s="45"/>
      <c r="J29" s="54"/>
      <c r="K29" s="45"/>
      <c r="L29" s="45"/>
      <c r="M29" s="45"/>
      <c r="N29" s="54"/>
      <c r="O29" s="54"/>
      <c r="P29" s="54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</row>
    <row r="30" ht="14.25" customHeight="1">
      <c r="A30" s="40" t="s">
        <v>120</v>
      </c>
      <c r="B30" s="41"/>
      <c r="C30" s="41"/>
      <c r="D30" s="55"/>
      <c r="E30" s="56"/>
      <c r="F30" s="55"/>
      <c r="G30" s="55"/>
      <c r="H30" s="55"/>
      <c r="I30" s="56"/>
      <c r="J30" s="56"/>
      <c r="K30" s="55"/>
      <c r="L30" s="55"/>
      <c r="M30" s="55"/>
      <c r="N30" s="56"/>
      <c r="O30" s="56"/>
      <c r="P30" s="56"/>
      <c r="Q30" s="55"/>
      <c r="R30" s="55"/>
      <c r="S30" s="55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3"/>
      <c r="AO30" s="43"/>
      <c r="AP30" s="43"/>
    </row>
    <row r="31" ht="14.25" customHeight="1">
      <c r="A31" s="44" t="s">
        <v>121</v>
      </c>
      <c r="B31" s="45"/>
      <c r="C31" s="46" t="s">
        <v>122</v>
      </c>
      <c r="D31" s="47" t="s">
        <v>74</v>
      </c>
      <c r="E31" s="48"/>
      <c r="F31" s="45" t="str">
        <f>CONCATENATE(A31,"-target")</f>
        <v>sacs:Liasse-target</v>
      </c>
      <c r="G31" s="46" t="s">
        <v>123</v>
      </c>
      <c r="H31" s="48" t="s">
        <v>120</v>
      </c>
      <c r="I31" s="45"/>
      <c r="J31" s="49" t="s">
        <v>124</v>
      </c>
      <c r="K31" s="45"/>
      <c r="L31" s="46" t="s">
        <v>78</v>
      </c>
      <c r="M31" s="46" t="s">
        <v>125</v>
      </c>
      <c r="N31" s="52" t="s">
        <v>80</v>
      </c>
      <c r="O31" s="52" t="b">
        <v>1</v>
      </c>
      <c r="P31" s="52" t="s">
        <v>81</v>
      </c>
      <c r="Q31" s="46" t="s">
        <v>126</v>
      </c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</row>
    <row r="32" ht="14.25" customHeight="1">
      <c r="A32" s="45"/>
      <c r="B32" s="45"/>
      <c r="C32" s="45"/>
      <c r="D32" s="45"/>
      <c r="E32" s="45"/>
      <c r="F32" s="45"/>
      <c r="G32" s="45"/>
      <c r="H32" s="45"/>
      <c r="I32" s="45"/>
      <c r="J32" s="54"/>
      <c r="K32" s="45"/>
      <c r="L32" s="45"/>
      <c r="M32" s="45"/>
      <c r="N32" s="54"/>
      <c r="O32" s="54"/>
      <c r="P32" s="54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</row>
    <row r="33" ht="14.25" customHeight="1">
      <c r="A33" s="40" t="s">
        <v>127</v>
      </c>
      <c r="B33" s="41"/>
      <c r="C33" s="41"/>
      <c r="D33" s="55"/>
      <c r="E33" s="56"/>
      <c r="F33" s="55"/>
      <c r="G33" s="55"/>
      <c r="H33" s="55"/>
      <c r="I33" s="56"/>
      <c r="J33" s="56"/>
      <c r="K33" s="55"/>
      <c r="L33" s="55"/>
      <c r="M33" s="55"/>
      <c r="N33" s="56"/>
      <c r="O33" s="56"/>
      <c r="P33" s="56"/>
      <c r="Q33" s="55"/>
      <c r="R33" s="55"/>
      <c r="S33" s="55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3"/>
      <c r="AO33" s="43"/>
      <c r="AP33" s="43"/>
    </row>
    <row r="34" ht="14.25" customHeight="1">
      <c r="A34" s="44" t="s">
        <v>128</v>
      </c>
      <c r="B34" s="45"/>
      <c r="C34" s="46" t="s">
        <v>129</v>
      </c>
      <c r="D34" s="47" t="s">
        <v>74</v>
      </c>
      <c r="E34" s="57" t="s">
        <v>130</v>
      </c>
      <c r="F34" s="45"/>
      <c r="G34" s="45"/>
      <c r="H34" s="48" t="s">
        <v>127</v>
      </c>
      <c r="I34" s="45"/>
      <c r="J34" s="49" t="s">
        <v>131</v>
      </c>
      <c r="K34" s="45"/>
      <c r="L34" s="46" t="s">
        <v>78</v>
      </c>
      <c r="M34" s="46" t="s">
        <v>132</v>
      </c>
      <c r="N34" s="59" t="s">
        <v>106</v>
      </c>
      <c r="O34" s="52" t="b">
        <v>1</v>
      </c>
      <c r="P34" s="52" t="s">
        <v>81</v>
      </c>
      <c r="Q34" s="46" t="s">
        <v>133</v>
      </c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</row>
    <row r="35" ht="14.25" customHeight="1">
      <c r="A35" s="45"/>
      <c r="B35" s="45"/>
      <c r="C35" s="45"/>
      <c r="D35" s="45"/>
      <c r="E35" s="45"/>
      <c r="F35" s="45"/>
      <c r="G35" s="45"/>
      <c r="H35" s="45"/>
      <c r="I35" s="45"/>
      <c r="J35" s="54"/>
      <c r="K35" s="45"/>
      <c r="L35" s="45"/>
      <c r="M35" s="45"/>
      <c r="N35" s="54"/>
      <c r="O35" s="54"/>
      <c r="P35" s="54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</row>
    <row r="36" ht="14.25" customHeight="1">
      <c r="A36" s="40" t="s">
        <v>134</v>
      </c>
      <c r="B36" s="41"/>
      <c r="C36" s="41"/>
      <c r="D36" s="55"/>
      <c r="E36" s="56"/>
      <c r="F36" s="55"/>
      <c r="G36" s="55"/>
      <c r="H36" s="55"/>
      <c r="I36" s="56"/>
      <c r="J36" s="56"/>
      <c r="K36" s="55"/>
      <c r="L36" s="55"/>
      <c r="M36" s="55"/>
      <c r="N36" s="56"/>
      <c r="O36" s="56"/>
      <c r="P36" s="56"/>
      <c r="Q36" s="55"/>
      <c r="R36" s="55"/>
      <c r="S36" s="55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3"/>
      <c r="AO36" s="43"/>
      <c r="AP36" s="43"/>
    </row>
    <row r="37" ht="14.25" customHeight="1">
      <c r="A37" s="44" t="s">
        <v>135</v>
      </c>
      <c r="B37" s="45"/>
      <c r="C37" s="46" t="s">
        <v>136</v>
      </c>
      <c r="D37" s="47" t="s">
        <v>74</v>
      </c>
      <c r="E37" s="48"/>
      <c r="F37" s="45" t="str">
        <f>CONCATENATE(A37,"-target")</f>
        <v>sacs:Procedure-target</v>
      </c>
      <c r="G37" s="46" t="s">
        <v>137</v>
      </c>
      <c r="H37" s="48" t="s">
        <v>134</v>
      </c>
      <c r="I37" s="45"/>
      <c r="J37" s="49" t="s">
        <v>138</v>
      </c>
      <c r="K37" s="45"/>
      <c r="L37" s="46" t="s">
        <v>78</v>
      </c>
      <c r="M37" s="46" t="s">
        <v>105</v>
      </c>
      <c r="N37" s="52" t="s">
        <v>89</v>
      </c>
      <c r="O37" s="52" t="b">
        <v>1</v>
      </c>
      <c r="P37" s="52" t="s">
        <v>81</v>
      </c>
      <c r="Q37" s="46" t="s">
        <v>139</v>
      </c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</row>
    <row r="38" ht="14.25" customHeight="1">
      <c r="A38" s="45"/>
      <c r="B38" s="45"/>
      <c r="C38" s="45"/>
      <c r="D38" s="45"/>
      <c r="E38" s="45"/>
      <c r="F38" s="45"/>
      <c r="G38" s="45"/>
      <c r="H38" s="45"/>
      <c r="I38" s="45"/>
      <c r="J38" s="54"/>
      <c r="K38" s="45"/>
      <c r="L38" s="45"/>
      <c r="M38" s="45"/>
      <c r="N38" s="54"/>
      <c r="O38" s="54"/>
      <c r="P38" s="54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</row>
    <row r="39" ht="14.25" customHeight="1">
      <c r="A39" s="60" t="s">
        <v>140</v>
      </c>
      <c r="B39" s="41"/>
      <c r="C39" s="41"/>
      <c r="D39" s="55"/>
      <c r="E39" s="56"/>
      <c r="F39" s="55"/>
      <c r="G39" s="55"/>
      <c r="H39" s="55"/>
      <c r="I39" s="56"/>
      <c r="J39" s="56"/>
      <c r="K39" s="55"/>
      <c r="L39" s="55"/>
      <c r="M39" s="55"/>
      <c r="N39" s="56"/>
      <c r="O39" s="56"/>
      <c r="P39" s="56"/>
      <c r="Q39" s="55"/>
      <c r="R39" s="55"/>
      <c r="S39" s="55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3"/>
      <c r="AO39" s="43"/>
      <c r="AP39" s="43"/>
    </row>
    <row r="40" ht="14.25" customHeight="1">
      <c r="A40" s="44" t="s">
        <v>141</v>
      </c>
      <c r="B40" s="45"/>
      <c r="C40" s="46" t="s">
        <v>142</v>
      </c>
      <c r="D40" s="47" t="s">
        <v>74</v>
      </c>
      <c r="E40" s="48"/>
      <c r="F40" s="45" t="str">
        <f>CONCATENATE(A40,"-target")</f>
        <v>sacs:Traitement-target</v>
      </c>
      <c r="G40" s="46" t="s">
        <v>143</v>
      </c>
      <c r="H40" s="46" t="s">
        <v>140</v>
      </c>
      <c r="I40" s="45"/>
      <c r="J40" s="49" t="s">
        <v>144</v>
      </c>
      <c r="K40" s="45"/>
      <c r="L40" s="46" t="s">
        <v>78</v>
      </c>
      <c r="M40" s="46" t="s">
        <v>105</v>
      </c>
      <c r="N40" s="52" t="s">
        <v>145</v>
      </c>
      <c r="O40" s="52" t="b">
        <v>1</v>
      </c>
      <c r="P40" s="52" t="s">
        <v>81</v>
      </c>
      <c r="Q40" s="46" t="s">
        <v>139</v>
      </c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</row>
    <row r="41" ht="14.25" customHeight="1">
      <c r="A41" s="45"/>
      <c r="B41" s="45"/>
      <c r="C41" s="45"/>
      <c r="D41" s="45"/>
      <c r="E41" s="45"/>
      <c r="F41" s="45"/>
      <c r="G41" s="45"/>
      <c r="H41" s="45"/>
      <c r="I41" s="45"/>
      <c r="J41" s="54"/>
      <c r="K41" s="45"/>
      <c r="L41" s="45"/>
      <c r="M41" s="45"/>
      <c r="N41" s="54"/>
      <c r="O41" s="54"/>
      <c r="P41" s="54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</row>
    <row r="42" ht="14.25" customHeight="1">
      <c r="A42" s="60" t="s">
        <v>146</v>
      </c>
      <c r="B42" s="41"/>
      <c r="C42" s="41"/>
      <c r="D42" s="55"/>
      <c r="E42" s="56"/>
      <c r="F42" s="55"/>
      <c r="G42" s="55"/>
      <c r="H42" s="55"/>
      <c r="I42" s="56"/>
      <c r="J42" s="56"/>
      <c r="K42" s="55"/>
      <c r="L42" s="55"/>
      <c r="M42" s="55"/>
      <c r="N42" s="56"/>
      <c r="O42" s="56"/>
      <c r="P42" s="56"/>
      <c r="Q42" s="55"/>
      <c r="R42" s="55"/>
      <c r="S42" s="55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3"/>
      <c r="AO42" s="43"/>
      <c r="AP42" s="43"/>
    </row>
    <row r="43" ht="14.25" customHeight="1">
      <c r="A43" s="44" t="s">
        <v>147</v>
      </c>
      <c r="B43" s="45"/>
      <c r="C43" s="46" t="s">
        <v>142</v>
      </c>
      <c r="D43" s="47" t="s">
        <v>74</v>
      </c>
      <c r="E43" s="48"/>
      <c r="F43" s="45" t="str">
        <f>CONCATENATE(A43,"-target")</f>
        <v>sacs:Depouillement-target</v>
      </c>
      <c r="G43" s="46" t="s">
        <v>148</v>
      </c>
      <c r="H43" s="46" t="s">
        <v>146</v>
      </c>
      <c r="I43" s="45"/>
      <c r="J43" s="49"/>
      <c r="K43" s="45"/>
      <c r="L43" s="46" t="s">
        <v>78</v>
      </c>
      <c r="M43" s="46" t="s">
        <v>105</v>
      </c>
      <c r="N43" s="52" t="s">
        <v>145</v>
      </c>
      <c r="O43" s="52" t="b">
        <v>1</v>
      </c>
      <c r="P43" s="52" t="s">
        <v>81</v>
      </c>
      <c r="Q43" s="46" t="s">
        <v>139</v>
      </c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</row>
    <row r="44" ht="14.25" customHeight="1">
      <c r="A44" s="45"/>
      <c r="B44" s="45"/>
      <c r="C44" s="45"/>
      <c r="D44" s="45"/>
      <c r="E44" s="45"/>
      <c r="F44" s="45"/>
      <c r="G44" s="45"/>
      <c r="H44" s="45"/>
      <c r="I44" s="45"/>
      <c r="J44" s="54"/>
      <c r="K44" s="45"/>
      <c r="L44" s="45"/>
      <c r="M44" s="45"/>
      <c r="N44" s="54"/>
      <c r="O44" s="54"/>
      <c r="P44" s="54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</row>
    <row r="45" ht="14.25" customHeight="1">
      <c r="A45" s="60" t="s">
        <v>149</v>
      </c>
      <c r="B45" s="41"/>
      <c r="C45" s="41"/>
      <c r="D45" s="55"/>
      <c r="E45" s="56"/>
      <c r="F45" s="55"/>
      <c r="G45" s="55"/>
      <c r="H45" s="55"/>
      <c r="I45" s="56"/>
      <c r="J45" s="56"/>
      <c r="K45" s="55"/>
      <c r="L45" s="55"/>
      <c r="M45" s="55"/>
      <c r="N45" s="56"/>
      <c r="O45" s="56"/>
      <c r="P45" s="56"/>
      <c r="Q45" s="55"/>
      <c r="R45" s="55"/>
      <c r="S45" s="55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3"/>
      <c r="AO45" s="43"/>
      <c r="AP45" s="43"/>
    </row>
    <row r="46" ht="14.25" customHeight="1">
      <c r="A46" s="44" t="s">
        <v>150</v>
      </c>
      <c r="B46" s="45"/>
      <c r="C46" s="46" t="s">
        <v>142</v>
      </c>
      <c r="D46" s="47" t="s">
        <v>74</v>
      </c>
      <c r="E46" s="48"/>
      <c r="F46" s="45" t="str">
        <f>CONCATENATE(A46,"-target")</f>
        <v>sacs:Saisie-target</v>
      </c>
      <c r="G46" s="46" t="s">
        <v>151</v>
      </c>
      <c r="H46" s="46" t="s">
        <v>149</v>
      </c>
      <c r="I46" s="45"/>
      <c r="J46" s="49"/>
      <c r="K46" s="45"/>
      <c r="L46" s="46" t="s">
        <v>78</v>
      </c>
      <c r="M46" s="46" t="s">
        <v>105</v>
      </c>
      <c r="N46" s="52" t="s">
        <v>145</v>
      </c>
      <c r="O46" s="52" t="b">
        <v>1</v>
      </c>
      <c r="P46" s="52" t="s">
        <v>81</v>
      </c>
      <c r="Q46" s="46" t="s">
        <v>139</v>
      </c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45"/>
      <c r="AN46" s="45"/>
      <c r="AO46" s="45"/>
      <c r="AP46" s="45"/>
    </row>
    <row r="47" ht="14.25" customHeight="1">
      <c r="A47" s="45"/>
      <c r="B47" s="45"/>
      <c r="C47" s="45"/>
      <c r="D47" s="45"/>
      <c r="E47" s="45"/>
      <c r="F47" s="45"/>
      <c r="G47" s="45"/>
      <c r="H47" s="45"/>
      <c r="I47" s="45"/>
      <c r="J47" s="54"/>
      <c r="K47" s="45"/>
      <c r="L47" s="45"/>
      <c r="M47" s="45"/>
      <c r="N47" s="54"/>
      <c r="O47" s="54"/>
      <c r="P47" s="54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45"/>
      <c r="AN47" s="45"/>
      <c r="AO47" s="45"/>
      <c r="AP47" s="45"/>
    </row>
    <row r="48" ht="14.25" customHeight="1">
      <c r="A48" s="60" t="s">
        <v>152</v>
      </c>
      <c r="B48" s="41"/>
      <c r="C48" s="41"/>
      <c r="D48" s="55"/>
      <c r="E48" s="56"/>
      <c r="F48" s="55"/>
      <c r="G48" s="55"/>
      <c r="H48" s="55"/>
      <c r="I48" s="56"/>
      <c r="J48" s="56"/>
      <c r="K48" s="55"/>
      <c r="L48" s="55"/>
      <c r="M48" s="55"/>
      <c r="N48" s="56"/>
      <c r="O48" s="56"/>
      <c r="P48" s="56"/>
      <c r="Q48" s="55"/>
      <c r="R48" s="55"/>
      <c r="S48" s="55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3"/>
      <c r="AO48" s="43"/>
      <c r="AP48" s="43"/>
    </row>
    <row r="49" ht="14.25" customHeight="1">
      <c r="A49" s="44" t="s">
        <v>153</v>
      </c>
      <c r="B49" s="45"/>
      <c r="C49" s="46" t="s">
        <v>142</v>
      </c>
      <c r="D49" s="47" t="s">
        <v>74</v>
      </c>
      <c r="E49" s="48"/>
      <c r="F49" s="45" t="str">
        <f>CONCATENATE(A49,"-target")</f>
        <v>sacs:Validation-target</v>
      </c>
      <c r="G49" s="46" t="s">
        <v>154</v>
      </c>
      <c r="H49" s="46" t="s">
        <v>152</v>
      </c>
      <c r="I49" s="45"/>
      <c r="J49" s="49"/>
      <c r="K49" s="45"/>
      <c r="L49" s="46" t="s">
        <v>78</v>
      </c>
      <c r="M49" s="46" t="s">
        <v>105</v>
      </c>
      <c r="N49" s="52" t="s">
        <v>145</v>
      </c>
      <c r="O49" s="52" t="b">
        <v>1</v>
      </c>
      <c r="P49" s="52" t="s">
        <v>81</v>
      </c>
      <c r="Q49" s="46" t="s">
        <v>139</v>
      </c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  <c r="AK49" s="45"/>
      <c r="AL49" s="45"/>
      <c r="AM49" s="45"/>
      <c r="AN49" s="45"/>
      <c r="AO49" s="45"/>
      <c r="AP49" s="45"/>
    </row>
    <row r="50" ht="14.25" customHeight="1">
      <c r="A50" s="45"/>
      <c r="B50" s="45"/>
      <c r="C50" s="45"/>
      <c r="D50" s="45"/>
      <c r="E50" s="45"/>
      <c r="F50" s="45"/>
      <c r="G50" s="45"/>
      <c r="H50" s="45"/>
      <c r="I50" s="45"/>
      <c r="J50" s="54"/>
      <c r="K50" s="45"/>
      <c r="L50" s="45"/>
      <c r="M50" s="45"/>
      <c r="N50" s="54"/>
      <c r="O50" s="54"/>
      <c r="P50" s="54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45"/>
      <c r="AL50" s="45"/>
      <c r="AM50" s="45"/>
      <c r="AN50" s="45"/>
      <c r="AO50" s="45"/>
      <c r="AP50" s="45"/>
    </row>
    <row r="51" ht="14.25" customHeight="1">
      <c r="A51" s="40" t="s">
        <v>155</v>
      </c>
      <c r="B51" s="41"/>
      <c r="C51" s="41"/>
      <c r="D51" s="55"/>
      <c r="E51" s="56"/>
      <c r="F51" s="55"/>
      <c r="G51" s="55"/>
      <c r="H51" s="55"/>
      <c r="I51" s="56"/>
      <c r="J51" s="56"/>
      <c r="K51" s="55"/>
      <c r="L51" s="55"/>
      <c r="M51" s="55"/>
      <c r="N51" s="56"/>
      <c r="O51" s="56"/>
      <c r="P51" s="56"/>
      <c r="Q51" s="55"/>
      <c r="R51" s="55"/>
      <c r="S51" s="55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3"/>
      <c r="AO51" s="43"/>
      <c r="AP51" s="43"/>
    </row>
    <row r="52" ht="14.25" customHeight="1">
      <c r="A52" s="48" t="s">
        <v>156</v>
      </c>
      <c r="B52" s="45"/>
      <c r="C52" s="46" t="s">
        <v>157</v>
      </c>
      <c r="D52" s="47" t="s">
        <v>74</v>
      </c>
      <c r="E52" s="48"/>
      <c r="F52" s="45" t="str">
        <f>CONCATENATE(A52,"-target")</f>
        <v>sacs:Sac-target</v>
      </c>
      <c r="G52" s="46" t="s">
        <v>158</v>
      </c>
      <c r="H52" s="48" t="s">
        <v>155</v>
      </c>
      <c r="I52" s="45"/>
      <c r="J52" s="49" t="s">
        <v>159</v>
      </c>
      <c r="K52" s="45"/>
      <c r="L52" s="46" t="s">
        <v>78</v>
      </c>
      <c r="M52" s="46" t="s">
        <v>125</v>
      </c>
      <c r="N52" s="52" t="s">
        <v>80</v>
      </c>
      <c r="O52" s="52" t="b">
        <v>1</v>
      </c>
      <c r="P52" s="52" t="s">
        <v>81</v>
      </c>
      <c r="Q52" s="46" t="s">
        <v>160</v>
      </c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N52" s="45"/>
      <c r="AO52" s="45"/>
      <c r="AP52" s="45"/>
    </row>
    <row r="53" ht="14.25" customHeight="1">
      <c r="A53" s="45"/>
      <c r="B53" s="45"/>
      <c r="C53" s="45"/>
      <c r="D53" s="45"/>
      <c r="E53" s="45"/>
      <c r="F53" s="45"/>
      <c r="G53" s="45"/>
      <c r="H53" s="45"/>
      <c r="I53" s="45"/>
      <c r="J53" s="54"/>
      <c r="K53" s="45"/>
      <c r="L53" s="45"/>
      <c r="M53" s="45"/>
      <c r="N53" s="54"/>
      <c r="O53" s="54"/>
      <c r="P53" s="54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  <c r="AM53" s="45"/>
      <c r="AN53" s="45"/>
      <c r="AO53" s="45"/>
      <c r="AP53" s="45"/>
    </row>
    <row r="54" ht="14.25" customHeight="1">
      <c r="A54" s="40" t="s">
        <v>161</v>
      </c>
      <c r="B54" s="41"/>
      <c r="C54" s="41"/>
      <c r="D54" s="55"/>
      <c r="E54" s="56"/>
      <c r="F54" s="55"/>
      <c r="G54" s="55"/>
      <c r="H54" s="55"/>
      <c r="I54" s="56"/>
      <c r="J54" s="56"/>
      <c r="K54" s="55"/>
      <c r="L54" s="55"/>
      <c r="M54" s="55"/>
      <c r="N54" s="56"/>
      <c r="O54" s="56"/>
      <c r="P54" s="56"/>
      <c r="Q54" s="55"/>
      <c r="R54" s="55"/>
      <c r="S54" s="55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3"/>
      <c r="AO54" s="43"/>
      <c r="AP54" s="43"/>
    </row>
    <row r="55" ht="14.25" customHeight="1">
      <c r="A55" s="44" t="s">
        <v>162</v>
      </c>
      <c r="B55" s="45"/>
      <c r="C55" s="46" t="s">
        <v>163</v>
      </c>
      <c r="D55" s="47" t="s">
        <v>74</v>
      </c>
      <c r="E55" s="48"/>
      <c r="F55" s="45" t="str">
        <f>CONCATENATE(A55,"-target")</f>
        <v>sacs:PersonneMorale-target</v>
      </c>
      <c r="G55" s="58" t="s">
        <v>164</v>
      </c>
      <c r="H55" s="48" t="s">
        <v>161</v>
      </c>
      <c r="I55" s="45"/>
      <c r="J55" s="49" t="s">
        <v>165</v>
      </c>
      <c r="K55" s="45"/>
      <c r="L55" s="46" t="s">
        <v>78</v>
      </c>
      <c r="M55" s="46" t="s">
        <v>118</v>
      </c>
      <c r="N55" s="52" t="s">
        <v>89</v>
      </c>
      <c r="O55" s="61"/>
      <c r="P55" s="61"/>
      <c r="Q55" s="46" t="s">
        <v>166</v>
      </c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  <c r="AM55" s="45"/>
      <c r="AN55" s="45"/>
      <c r="AO55" s="45"/>
      <c r="AP55" s="45"/>
    </row>
    <row r="56" ht="14.25" customHeight="1">
      <c r="A56" s="45"/>
      <c r="B56" s="45"/>
      <c r="C56" s="45"/>
      <c r="D56" s="45"/>
      <c r="E56" s="45"/>
      <c r="F56" s="45"/>
      <c r="G56" s="45"/>
      <c r="H56" s="45"/>
      <c r="I56" s="45"/>
      <c r="J56" s="54"/>
      <c r="K56" s="45"/>
      <c r="L56" s="45"/>
      <c r="M56" s="45"/>
      <c r="N56" s="54"/>
      <c r="O56" s="54"/>
      <c r="P56" s="54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  <c r="AM56" s="45"/>
      <c r="AN56" s="45"/>
      <c r="AO56" s="45"/>
      <c r="AP56" s="45"/>
    </row>
    <row r="57" ht="14.25" customHeight="1">
      <c r="A57" s="40" t="s">
        <v>167</v>
      </c>
      <c r="B57" s="41"/>
      <c r="C57" s="41"/>
      <c r="D57" s="55"/>
      <c r="E57" s="56"/>
      <c r="F57" s="55"/>
      <c r="G57" s="55"/>
      <c r="H57" s="55"/>
      <c r="I57" s="56"/>
      <c r="J57" s="56"/>
      <c r="K57" s="55"/>
      <c r="L57" s="55"/>
      <c r="M57" s="55"/>
      <c r="N57" s="56"/>
      <c r="O57" s="56"/>
      <c r="P57" s="56"/>
      <c r="Q57" s="55"/>
      <c r="R57" s="55"/>
      <c r="S57" s="55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3"/>
      <c r="AO57" s="43"/>
      <c r="AP57" s="43"/>
    </row>
    <row r="58" ht="14.25" customHeight="1">
      <c r="A58" s="44" t="s">
        <v>168</v>
      </c>
      <c r="B58" s="45"/>
      <c r="C58" s="59" t="s">
        <v>169</v>
      </c>
      <c r="D58" s="47" t="s">
        <v>74</v>
      </c>
      <c r="E58" s="62" t="s">
        <v>170</v>
      </c>
      <c r="F58" s="45"/>
      <c r="G58" s="45"/>
      <c r="H58" s="62" t="s">
        <v>167</v>
      </c>
      <c r="I58" s="45"/>
      <c r="J58" s="62" t="s">
        <v>171</v>
      </c>
      <c r="K58" s="45"/>
      <c r="L58" s="46" t="s">
        <v>78</v>
      </c>
      <c r="M58" s="46" t="s">
        <v>118</v>
      </c>
      <c r="N58" s="52" t="s">
        <v>89</v>
      </c>
      <c r="O58" s="52" t="b">
        <v>1</v>
      </c>
      <c r="P58" s="52" t="s">
        <v>81</v>
      </c>
      <c r="Q58" s="46" t="s">
        <v>172</v>
      </c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  <c r="AK58" s="45"/>
      <c r="AL58" s="45"/>
      <c r="AM58" s="45"/>
      <c r="AN58" s="45"/>
      <c r="AO58" s="45"/>
      <c r="AP58" s="45"/>
    </row>
    <row r="59" ht="14.25" customHeight="1">
      <c r="D59" s="63"/>
      <c r="E59" s="63"/>
      <c r="F59" s="63"/>
      <c r="G59" s="63"/>
      <c r="H59" s="64"/>
      <c r="I59" s="63"/>
      <c r="J59" s="65"/>
      <c r="K59" s="63"/>
      <c r="L59" s="63"/>
      <c r="M59" s="63"/>
      <c r="N59" s="65"/>
      <c r="O59" s="65"/>
      <c r="P59" s="65"/>
      <c r="Q59" s="63"/>
      <c r="R59" s="63"/>
      <c r="S59" s="63"/>
    </row>
    <row r="60" ht="14.25" customHeight="1">
      <c r="D60" s="63"/>
      <c r="E60" s="63"/>
      <c r="F60" s="63"/>
      <c r="G60" s="63"/>
      <c r="H60" s="64"/>
      <c r="I60" s="63"/>
      <c r="J60" s="65"/>
      <c r="K60" s="63"/>
      <c r="L60" s="63"/>
      <c r="M60" s="63"/>
      <c r="N60" s="65"/>
      <c r="O60" s="65"/>
      <c r="P60" s="65"/>
      <c r="Q60" s="63"/>
      <c r="R60" s="63"/>
      <c r="S60" s="63"/>
    </row>
    <row r="61" ht="14.25" customHeight="1">
      <c r="D61" s="63"/>
      <c r="E61" s="63"/>
      <c r="F61" s="63"/>
      <c r="G61" s="63"/>
      <c r="H61" s="64" t="s">
        <v>173</v>
      </c>
      <c r="I61" s="63"/>
      <c r="J61" s="65"/>
      <c r="K61" s="63"/>
      <c r="L61" s="63"/>
      <c r="M61" s="63"/>
      <c r="N61" s="65"/>
      <c r="O61" s="65"/>
      <c r="P61" s="65"/>
      <c r="Q61" s="63"/>
      <c r="R61" s="63"/>
      <c r="S61" s="63"/>
    </row>
    <row r="62" ht="14.25" customHeight="1">
      <c r="A62" s="60" t="s">
        <v>174</v>
      </c>
      <c r="B62" s="41"/>
      <c r="C62" s="41"/>
      <c r="D62" s="41"/>
      <c r="E62" s="42"/>
      <c r="F62" s="41"/>
      <c r="G62" s="41"/>
      <c r="H62" s="41"/>
      <c r="I62" s="42"/>
      <c r="J62" s="42"/>
      <c r="K62" s="41"/>
      <c r="L62" s="41"/>
      <c r="M62" s="41"/>
      <c r="N62" s="42"/>
      <c r="O62" s="42"/>
      <c r="P62" s="42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3"/>
      <c r="AO62" s="43"/>
      <c r="AP62" s="43"/>
    </row>
    <row r="63" ht="14.25" customHeight="1">
      <c r="A63" s="66" t="s">
        <v>175</v>
      </c>
      <c r="C63" s="53" t="s">
        <v>176</v>
      </c>
      <c r="D63" s="59" t="s">
        <v>74</v>
      </c>
      <c r="E63" s="59" t="s">
        <v>177</v>
      </c>
      <c r="H63" s="46" t="s">
        <v>178</v>
      </c>
      <c r="I63" s="67"/>
      <c r="J63" s="52" t="s">
        <v>179</v>
      </c>
      <c r="L63" s="46" t="s">
        <v>78</v>
      </c>
      <c r="M63" s="68" t="s">
        <v>180</v>
      </c>
      <c r="N63" s="52"/>
      <c r="O63" s="52"/>
      <c r="P63" s="52"/>
      <c r="Q63" s="53" t="s">
        <v>82</v>
      </c>
    </row>
    <row r="64" ht="14.25" customHeight="1">
      <c r="A64" s="66" t="s">
        <v>181</v>
      </c>
      <c r="C64" s="53" t="s">
        <v>176</v>
      </c>
      <c r="D64" s="59" t="s">
        <v>74</v>
      </c>
      <c r="E64" s="59" t="s">
        <v>182</v>
      </c>
      <c r="H64" s="46" t="s">
        <v>183</v>
      </c>
      <c r="I64" s="67"/>
      <c r="J64" s="52" t="s">
        <v>184</v>
      </c>
      <c r="L64" s="46" t="s">
        <v>78</v>
      </c>
      <c r="M64" s="68" t="s">
        <v>185</v>
      </c>
      <c r="N64" s="52"/>
      <c r="O64" s="52"/>
      <c r="P64" s="52"/>
      <c r="Q64" s="53" t="s">
        <v>82</v>
      </c>
    </row>
    <row r="65" ht="14.25" customHeight="1">
      <c r="A65" s="66" t="s">
        <v>186</v>
      </c>
      <c r="C65" s="53" t="s">
        <v>176</v>
      </c>
      <c r="D65" s="59" t="s">
        <v>74</v>
      </c>
      <c r="E65" s="59" t="s">
        <v>187</v>
      </c>
      <c r="H65" s="46" t="s">
        <v>188</v>
      </c>
      <c r="I65" s="67"/>
      <c r="J65" s="52" t="s">
        <v>189</v>
      </c>
      <c r="L65" s="46" t="s">
        <v>78</v>
      </c>
      <c r="M65" s="68" t="s">
        <v>190</v>
      </c>
      <c r="N65" s="52"/>
      <c r="O65" s="52"/>
      <c r="P65" s="52"/>
      <c r="Q65" s="53" t="s">
        <v>82</v>
      </c>
    </row>
    <row r="66" ht="14.25" customHeight="1">
      <c r="A66" s="66" t="s">
        <v>191</v>
      </c>
      <c r="C66" s="53" t="s">
        <v>176</v>
      </c>
      <c r="D66" s="59" t="s">
        <v>74</v>
      </c>
      <c r="E66" s="59" t="s">
        <v>192</v>
      </c>
      <c r="H66" s="46" t="s">
        <v>193</v>
      </c>
      <c r="I66" s="67"/>
      <c r="J66" s="52" t="s">
        <v>194</v>
      </c>
      <c r="L66" s="46" t="s">
        <v>78</v>
      </c>
      <c r="M66" s="68" t="s">
        <v>195</v>
      </c>
      <c r="N66" s="52"/>
      <c r="O66" s="52"/>
      <c r="P66" s="52"/>
      <c r="Q66" s="53" t="s">
        <v>82</v>
      </c>
    </row>
    <row r="67" ht="14.25" customHeight="1">
      <c r="A67" s="66" t="s">
        <v>196</v>
      </c>
      <c r="C67" s="53" t="s">
        <v>176</v>
      </c>
      <c r="D67" s="59" t="s">
        <v>74</v>
      </c>
      <c r="E67" s="59" t="s">
        <v>197</v>
      </c>
      <c r="H67" s="46" t="s">
        <v>198</v>
      </c>
      <c r="I67" s="67"/>
      <c r="J67" s="52" t="s">
        <v>199</v>
      </c>
      <c r="L67" s="46" t="s">
        <v>78</v>
      </c>
      <c r="M67" s="68" t="s">
        <v>200</v>
      </c>
      <c r="N67" s="52"/>
      <c r="O67" s="52"/>
      <c r="P67" s="52"/>
      <c r="Q67" s="53" t="s">
        <v>82</v>
      </c>
    </row>
    <row r="68" ht="14.25" customHeight="1">
      <c r="A68" s="66" t="s">
        <v>201</v>
      </c>
      <c r="C68" s="53" t="s">
        <v>176</v>
      </c>
      <c r="D68" s="59" t="s">
        <v>74</v>
      </c>
      <c r="E68" s="48" t="s">
        <v>202</v>
      </c>
      <c r="H68" s="46" t="s">
        <v>203</v>
      </c>
      <c r="I68" s="67"/>
      <c r="J68" s="52" t="s">
        <v>204</v>
      </c>
      <c r="L68" s="46" t="s">
        <v>78</v>
      </c>
      <c r="M68" s="68" t="s">
        <v>205</v>
      </c>
      <c r="N68" s="52"/>
      <c r="O68" s="52"/>
      <c r="P68" s="52"/>
      <c r="Q68" s="53" t="s">
        <v>82</v>
      </c>
    </row>
    <row r="69" ht="14.25" customHeight="1">
      <c r="A69" s="66" t="s">
        <v>206</v>
      </c>
      <c r="C69" s="53" t="s">
        <v>176</v>
      </c>
      <c r="D69" s="59" t="s">
        <v>74</v>
      </c>
      <c r="E69" s="48" t="s">
        <v>207</v>
      </c>
      <c r="H69" s="46" t="s">
        <v>208</v>
      </c>
      <c r="I69" s="67"/>
      <c r="J69" s="52" t="s">
        <v>209</v>
      </c>
      <c r="L69" s="46" t="s">
        <v>78</v>
      </c>
      <c r="M69" s="68" t="s">
        <v>210</v>
      </c>
      <c r="N69" s="52"/>
      <c r="O69" s="52"/>
      <c r="P69" s="52"/>
      <c r="Q69" s="53" t="s">
        <v>82</v>
      </c>
    </row>
    <row r="70" ht="14.25" customHeight="1">
      <c r="A70" s="66" t="s">
        <v>211</v>
      </c>
      <c r="C70" s="53" t="s">
        <v>176</v>
      </c>
      <c r="D70" s="59" t="s">
        <v>74</v>
      </c>
      <c r="E70" s="53" t="s">
        <v>212</v>
      </c>
      <c r="H70" s="53" t="s">
        <v>213</v>
      </c>
      <c r="I70" s="67"/>
      <c r="J70" s="52" t="s">
        <v>214</v>
      </c>
      <c r="L70" s="46" t="s">
        <v>78</v>
      </c>
      <c r="M70" s="68" t="s">
        <v>215</v>
      </c>
      <c r="N70" s="52"/>
      <c r="O70" s="52"/>
      <c r="P70" s="52"/>
      <c r="Q70" s="53" t="s">
        <v>82</v>
      </c>
    </row>
    <row r="71" ht="14.25" customHeight="1">
      <c r="A71" s="66" t="s">
        <v>216</v>
      </c>
      <c r="C71" s="53" t="s">
        <v>176</v>
      </c>
      <c r="D71" s="59" t="s">
        <v>74</v>
      </c>
      <c r="E71" s="53" t="s">
        <v>217</v>
      </c>
      <c r="H71" s="46" t="s">
        <v>218</v>
      </c>
      <c r="I71" s="67"/>
      <c r="J71" s="52" t="s">
        <v>219</v>
      </c>
      <c r="L71" s="46" t="s">
        <v>78</v>
      </c>
      <c r="M71" s="68" t="s">
        <v>220</v>
      </c>
      <c r="N71" s="52"/>
      <c r="O71" s="52"/>
      <c r="P71" s="52"/>
      <c r="Q71" s="53" t="s">
        <v>82</v>
      </c>
    </row>
    <row r="72" ht="14.25" customHeight="1">
      <c r="A72" s="66" t="s">
        <v>221</v>
      </c>
      <c r="C72" s="53" t="s">
        <v>176</v>
      </c>
      <c r="D72" s="59" t="s">
        <v>74</v>
      </c>
      <c r="E72" s="53" t="s">
        <v>222</v>
      </c>
      <c r="H72" s="46" t="s">
        <v>223</v>
      </c>
      <c r="I72" s="67"/>
      <c r="J72" s="52" t="s">
        <v>224</v>
      </c>
      <c r="L72" s="46" t="s">
        <v>78</v>
      </c>
      <c r="M72" s="68" t="s">
        <v>225</v>
      </c>
      <c r="N72" s="52"/>
      <c r="O72" s="52"/>
      <c r="P72" s="52"/>
      <c r="Q72" s="53" t="s">
        <v>82</v>
      </c>
    </row>
    <row r="73" ht="14.25" customHeight="1">
      <c r="A73" s="53" t="s">
        <v>226</v>
      </c>
      <c r="C73" s="53" t="s">
        <v>176</v>
      </c>
      <c r="D73" s="59" t="s">
        <v>74</v>
      </c>
      <c r="E73" s="53" t="s">
        <v>227</v>
      </c>
      <c r="H73" s="53" t="s">
        <v>228</v>
      </c>
      <c r="J73" s="52" t="s">
        <v>229</v>
      </c>
      <c r="L73" s="46" t="s">
        <v>78</v>
      </c>
      <c r="M73" s="68" t="s">
        <v>230</v>
      </c>
      <c r="N73" s="69"/>
      <c r="O73" s="69"/>
      <c r="P73" s="69"/>
      <c r="Q73" s="53" t="s">
        <v>82</v>
      </c>
    </row>
    <row r="74" ht="14.25" customHeight="1">
      <c r="A74" s="53" t="s">
        <v>231</v>
      </c>
      <c r="C74" s="53" t="s">
        <v>176</v>
      </c>
      <c r="D74" s="59" t="s">
        <v>74</v>
      </c>
      <c r="E74" s="48" t="s">
        <v>232</v>
      </c>
      <c r="H74" s="46" t="s">
        <v>233</v>
      </c>
      <c r="J74" s="52" t="s">
        <v>234</v>
      </c>
      <c r="L74" s="46" t="s">
        <v>78</v>
      </c>
      <c r="M74" s="68" t="s">
        <v>235</v>
      </c>
      <c r="N74" s="69"/>
      <c r="O74" s="69"/>
      <c r="P74" s="69"/>
      <c r="Q74" s="53" t="s">
        <v>82</v>
      </c>
    </row>
    <row r="75" ht="14.25" customHeight="1">
      <c r="J75" s="69"/>
      <c r="N75" s="69"/>
      <c r="O75" s="69"/>
      <c r="P75" s="69"/>
    </row>
    <row r="76" ht="14.25" customHeight="1">
      <c r="J76" s="69"/>
      <c r="N76" s="69"/>
      <c r="O76" s="69"/>
      <c r="P76" s="69"/>
    </row>
    <row r="77" ht="14.25" customHeight="1">
      <c r="J77" s="69"/>
      <c r="N77" s="69"/>
      <c r="O77" s="69"/>
      <c r="P77" s="69"/>
    </row>
    <row r="78" ht="14.25" customHeight="1">
      <c r="A78" s="60" t="s">
        <v>236</v>
      </c>
      <c r="B78" s="41"/>
      <c r="C78" s="41"/>
      <c r="D78" s="41"/>
      <c r="E78" s="42"/>
      <c r="F78" s="41"/>
      <c r="G78" s="41"/>
      <c r="H78" s="41"/>
      <c r="I78" s="42"/>
      <c r="J78" s="42"/>
      <c r="K78" s="41"/>
      <c r="L78" s="41"/>
      <c r="M78" s="41"/>
      <c r="N78" s="42"/>
      <c r="O78" s="42"/>
      <c r="P78" s="42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3"/>
      <c r="AO78" s="43"/>
      <c r="AP78" s="43"/>
    </row>
    <row r="79" ht="14.25" customHeight="1">
      <c r="A79" s="46" t="s">
        <v>237</v>
      </c>
      <c r="C79" s="53" t="s">
        <v>238</v>
      </c>
      <c r="D79" s="59" t="s">
        <v>74</v>
      </c>
      <c r="H79" s="53" t="s">
        <v>239</v>
      </c>
      <c r="J79" s="69"/>
      <c r="L79" s="46" t="s">
        <v>240</v>
      </c>
      <c r="N79" s="69"/>
      <c r="O79" s="69"/>
      <c r="P79" s="69"/>
    </row>
    <row r="80" ht="14.25" customHeight="1">
      <c r="A80" s="46" t="s">
        <v>241</v>
      </c>
      <c r="C80" s="53" t="s">
        <v>242</v>
      </c>
      <c r="D80" s="59" t="s">
        <v>74</v>
      </c>
      <c r="H80" s="53" t="s">
        <v>243</v>
      </c>
      <c r="J80" s="69"/>
      <c r="L80" s="46" t="s">
        <v>240</v>
      </c>
      <c r="N80" s="69"/>
      <c r="O80" s="69"/>
      <c r="P80" s="69"/>
    </row>
    <row r="81" ht="14.25" customHeight="1">
      <c r="A81" s="70" t="s">
        <v>244</v>
      </c>
      <c r="B81" s="19"/>
      <c r="C81" s="71" t="s">
        <v>245</v>
      </c>
      <c r="D81" s="72" t="s">
        <v>74</v>
      </c>
      <c r="E81" s="19"/>
      <c r="F81" s="19"/>
      <c r="G81" s="19"/>
      <c r="H81" s="71" t="s">
        <v>246</v>
      </c>
      <c r="I81" s="19"/>
      <c r="J81" s="19"/>
      <c r="K81" s="19"/>
      <c r="L81" s="72" t="s">
        <v>240</v>
      </c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</row>
    <row r="82" ht="14.25" customHeight="1">
      <c r="A82" s="70" t="s">
        <v>247</v>
      </c>
      <c r="B82" s="19"/>
      <c r="C82" s="46" t="s">
        <v>85</v>
      </c>
      <c r="D82" s="72" t="s">
        <v>74</v>
      </c>
      <c r="E82" s="19"/>
      <c r="F82" s="19"/>
      <c r="G82" s="19"/>
      <c r="H82" s="71" t="s">
        <v>248</v>
      </c>
      <c r="I82" s="19"/>
      <c r="J82" s="19"/>
      <c r="K82" s="19"/>
      <c r="L82" s="72" t="s">
        <v>240</v>
      </c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</row>
    <row r="83" ht="14.25" customHeight="1">
      <c r="A83" s="70" t="s">
        <v>249</v>
      </c>
      <c r="B83" s="19"/>
      <c r="C83" s="46" t="s">
        <v>250</v>
      </c>
      <c r="D83" s="72" t="s">
        <v>74</v>
      </c>
      <c r="E83" s="19"/>
      <c r="F83" s="19"/>
      <c r="G83" s="19"/>
      <c r="H83" s="71" t="s">
        <v>251</v>
      </c>
      <c r="I83" s="19"/>
      <c r="J83" s="73" t="s">
        <v>252</v>
      </c>
      <c r="K83" s="19"/>
      <c r="L83" s="72" t="s">
        <v>240</v>
      </c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</row>
    <row r="84" ht="14.25" customHeight="1">
      <c r="A84" s="70" t="s">
        <v>253</v>
      </c>
      <c r="B84" s="19"/>
      <c r="C84" s="46" t="s">
        <v>254</v>
      </c>
      <c r="D84" s="72" t="s">
        <v>74</v>
      </c>
      <c r="E84" s="19"/>
      <c r="F84" s="19"/>
      <c r="G84" s="19"/>
      <c r="H84" s="71" t="s">
        <v>255</v>
      </c>
      <c r="I84" s="19"/>
      <c r="J84" s="19"/>
      <c r="K84" s="19"/>
      <c r="L84" s="72" t="s">
        <v>240</v>
      </c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</row>
    <row r="85" ht="14.25" customHeight="1">
      <c r="J85" s="69"/>
      <c r="N85" s="69"/>
      <c r="O85" s="69"/>
      <c r="P85" s="69"/>
    </row>
    <row r="86" ht="14.25" customHeight="1">
      <c r="J86" s="69"/>
      <c r="N86" s="69"/>
      <c r="O86" s="69"/>
      <c r="P86" s="69"/>
    </row>
    <row r="87" ht="14.25" customHeight="1">
      <c r="J87" s="69"/>
      <c r="N87" s="69"/>
      <c r="O87" s="69"/>
      <c r="P87" s="69"/>
    </row>
    <row r="88" ht="14.25" customHeight="1">
      <c r="J88" s="69"/>
      <c r="N88" s="69"/>
      <c r="O88" s="69"/>
      <c r="P88" s="69"/>
    </row>
    <row r="89" ht="14.25" customHeight="1">
      <c r="J89" s="69"/>
      <c r="N89" s="69"/>
      <c r="O89" s="69"/>
      <c r="P89" s="69"/>
    </row>
    <row r="90" ht="14.25" customHeight="1">
      <c r="J90" s="69"/>
      <c r="N90" s="69"/>
      <c r="O90" s="69"/>
      <c r="P90" s="69"/>
    </row>
    <row r="91" ht="14.25" customHeight="1">
      <c r="J91" s="69"/>
      <c r="N91" s="69"/>
      <c r="O91" s="69"/>
      <c r="P91" s="69"/>
    </row>
    <row r="92" ht="14.25" customHeight="1">
      <c r="J92" s="69"/>
      <c r="N92" s="69"/>
      <c r="O92" s="69"/>
      <c r="P92" s="69"/>
    </row>
    <row r="93" ht="14.25" customHeight="1">
      <c r="J93" s="69"/>
      <c r="N93" s="69"/>
      <c r="O93" s="69"/>
      <c r="P93" s="69"/>
    </row>
    <row r="94" ht="14.25" customHeight="1">
      <c r="J94" s="69"/>
      <c r="N94" s="69"/>
      <c r="O94" s="69"/>
      <c r="P94" s="69"/>
    </row>
    <row r="95" ht="14.25" customHeight="1">
      <c r="J95" s="69"/>
      <c r="N95" s="69"/>
      <c r="O95" s="69"/>
      <c r="P95" s="69"/>
    </row>
    <row r="96" ht="14.25" customHeight="1">
      <c r="J96" s="69"/>
      <c r="N96" s="69"/>
      <c r="O96" s="69"/>
      <c r="P96" s="69"/>
    </row>
    <row r="97" ht="14.25" customHeight="1">
      <c r="J97" s="69"/>
      <c r="N97" s="69"/>
      <c r="O97" s="69"/>
      <c r="P97" s="69"/>
    </row>
    <row r="98" ht="14.25" customHeight="1">
      <c r="J98" s="69"/>
      <c r="N98" s="69"/>
      <c r="O98" s="69"/>
      <c r="P98" s="69"/>
    </row>
    <row r="99" ht="14.25" customHeight="1">
      <c r="J99" s="69"/>
      <c r="N99" s="69"/>
      <c r="O99" s="69"/>
      <c r="P99" s="69"/>
    </row>
    <row r="100" ht="14.25" customHeight="1">
      <c r="J100" s="69"/>
      <c r="N100" s="69"/>
      <c r="O100" s="69"/>
      <c r="P100" s="69"/>
    </row>
    <row r="101" ht="14.25" customHeight="1">
      <c r="J101" s="69"/>
      <c r="N101" s="69"/>
      <c r="O101" s="69"/>
      <c r="P101" s="69"/>
    </row>
    <row r="102" ht="14.25" customHeight="1">
      <c r="J102" s="69"/>
      <c r="N102" s="69"/>
      <c r="O102" s="69"/>
      <c r="P102" s="69"/>
    </row>
    <row r="103" ht="14.25" customHeight="1">
      <c r="J103" s="69"/>
      <c r="N103" s="69"/>
      <c r="O103" s="69"/>
      <c r="P103" s="69"/>
    </row>
    <row r="104" ht="14.25" customHeight="1">
      <c r="J104" s="69"/>
      <c r="N104" s="69"/>
      <c r="O104" s="69"/>
      <c r="P104" s="69"/>
    </row>
    <row r="105" ht="14.25" customHeight="1">
      <c r="J105" s="69"/>
      <c r="N105" s="69"/>
      <c r="O105" s="69"/>
      <c r="P105" s="69"/>
    </row>
    <row r="106" ht="14.25" customHeight="1">
      <c r="J106" s="69"/>
      <c r="N106" s="69"/>
      <c r="O106" s="69"/>
      <c r="P106" s="69"/>
    </row>
    <row r="107" ht="14.25" customHeight="1">
      <c r="J107" s="69"/>
      <c r="N107" s="69"/>
      <c r="O107" s="69"/>
      <c r="P107" s="69"/>
    </row>
    <row r="108" ht="14.25" customHeight="1">
      <c r="J108" s="69"/>
      <c r="N108" s="69"/>
      <c r="O108" s="69"/>
      <c r="P108" s="69"/>
    </row>
    <row r="109" ht="14.25" customHeight="1">
      <c r="J109" s="69"/>
      <c r="N109" s="69"/>
      <c r="O109" s="69"/>
      <c r="P109" s="69"/>
    </row>
    <row r="110" ht="14.25" customHeight="1">
      <c r="J110" s="69"/>
      <c r="N110" s="69"/>
      <c r="O110" s="69"/>
      <c r="P110" s="69"/>
    </row>
    <row r="111" ht="14.25" customHeight="1">
      <c r="J111" s="69"/>
      <c r="N111" s="69"/>
      <c r="O111" s="69"/>
      <c r="P111" s="69"/>
    </row>
    <row r="112" ht="14.25" customHeight="1">
      <c r="J112" s="69"/>
      <c r="N112" s="69"/>
      <c r="O112" s="69"/>
      <c r="P112" s="69"/>
    </row>
    <row r="113" ht="14.25" customHeight="1">
      <c r="J113" s="69"/>
      <c r="N113" s="69"/>
      <c r="O113" s="69"/>
      <c r="P113" s="69"/>
    </row>
    <row r="114" ht="14.25" customHeight="1">
      <c r="J114" s="69"/>
      <c r="N114" s="69"/>
      <c r="O114" s="69"/>
      <c r="P114" s="69"/>
    </row>
    <row r="115" ht="14.25" customHeight="1">
      <c r="J115" s="69"/>
      <c r="N115" s="69"/>
      <c r="O115" s="69"/>
      <c r="P115" s="69"/>
    </row>
    <row r="116" ht="14.25" customHeight="1">
      <c r="J116" s="69"/>
      <c r="N116" s="69"/>
      <c r="O116" s="69"/>
      <c r="P116" s="69"/>
    </row>
    <row r="117" ht="14.25" customHeight="1">
      <c r="J117" s="69"/>
      <c r="N117" s="69"/>
      <c r="O117" s="69"/>
      <c r="P117" s="69"/>
    </row>
    <row r="118" ht="14.25" customHeight="1">
      <c r="J118" s="69"/>
      <c r="N118" s="69"/>
      <c r="O118" s="69"/>
      <c r="P118" s="69"/>
    </row>
    <row r="119" ht="14.25" customHeight="1">
      <c r="J119" s="69"/>
      <c r="N119" s="69"/>
      <c r="O119" s="69"/>
      <c r="P119" s="69"/>
    </row>
    <row r="120" ht="14.25" customHeight="1">
      <c r="J120" s="69"/>
      <c r="N120" s="69"/>
      <c r="O120" s="69"/>
      <c r="P120" s="69"/>
    </row>
    <row r="121" ht="14.25" customHeight="1">
      <c r="J121" s="69"/>
      <c r="N121" s="69"/>
      <c r="O121" s="69"/>
      <c r="P121" s="69"/>
    </row>
    <row r="122" ht="14.25" customHeight="1">
      <c r="J122" s="69"/>
      <c r="N122" s="69"/>
      <c r="O122" s="69"/>
      <c r="P122" s="69"/>
    </row>
    <row r="123" ht="14.25" customHeight="1">
      <c r="J123" s="69"/>
      <c r="N123" s="69"/>
      <c r="O123" s="69"/>
      <c r="P123" s="69"/>
    </row>
    <row r="124" ht="14.25" customHeight="1">
      <c r="J124" s="69"/>
      <c r="N124" s="69"/>
      <c r="O124" s="69"/>
      <c r="P124" s="69"/>
    </row>
    <row r="125" ht="14.25" customHeight="1">
      <c r="J125" s="69"/>
      <c r="N125" s="69"/>
      <c r="O125" s="69"/>
      <c r="P125" s="69"/>
    </row>
    <row r="126" ht="14.25" customHeight="1">
      <c r="J126" s="69"/>
      <c r="N126" s="69"/>
      <c r="O126" s="69"/>
      <c r="P126" s="69"/>
    </row>
    <row r="127" ht="14.25" customHeight="1">
      <c r="J127" s="69"/>
      <c r="N127" s="69"/>
      <c r="O127" s="69"/>
      <c r="P127" s="69"/>
    </row>
    <row r="128" ht="14.25" customHeight="1">
      <c r="J128" s="69"/>
      <c r="N128" s="69"/>
      <c r="O128" s="69"/>
      <c r="P128" s="69"/>
    </row>
    <row r="129" ht="14.25" customHeight="1">
      <c r="J129" s="69"/>
      <c r="N129" s="69"/>
      <c r="O129" s="69"/>
      <c r="P129" s="69"/>
    </row>
    <row r="130" ht="14.25" customHeight="1">
      <c r="J130" s="69"/>
      <c r="N130" s="69"/>
      <c r="O130" s="69"/>
      <c r="P130" s="69"/>
    </row>
    <row r="131" ht="14.25" customHeight="1">
      <c r="J131" s="69"/>
      <c r="N131" s="69"/>
      <c r="O131" s="69"/>
      <c r="P131" s="69"/>
    </row>
    <row r="132" ht="14.25" customHeight="1">
      <c r="J132" s="69"/>
      <c r="N132" s="69"/>
      <c r="O132" s="69"/>
      <c r="P132" s="69"/>
    </row>
    <row r="133" ht="14.25" customHeight="1">
      <c r="J133" s="69"/>
      <c r="N133" s="69"/>
      <c r="O133" s="69"/>
      <c r="P133" s="69"/>
    </row>
    <row r="134" ht="14.25" customHeight="1">
      <c r="J134" s="69"/>
      <c r="N134" s="69"/>
      <c r="O134" s="69"/>
      <c r="P134" s="69"/>
    </row>
    <row r="135" ht="14.25" customHeight="1">
      <c r="J135" s="69"/>
      <c r="N135" s="69"/>
      <c r="O135" s="69"/>
      <c r="P135" s="69"/>
    </row>
    <row r="136" ht="14.25" customHeight="1">
      <c r="J136" s="69"/>
      <c r="N136" s="69"/>
      <c r="O136" s="69"/>
      <c r="P136" s="69"/>
    </row>
    <row r="137" ht="14.25" customHeight="1">
      <c r="J137" s="69"/>
      <c r="N137" s="69"/>
      <c r="O137" s="69"/>
      <c r="P137" s="69"/>
    </row>
    <row r="138" ht="14.25" customHeight="1">
      <c r="J138" s="69"/>
      <c r="N138" s="69"/>
      <c r="O138" s="69"/>
      <c r="P138" s="69"/>
    </row>
    <row r="139" ht="14.25" customHeight="1">
      <c r="J139" s="69"/>
      <c r="N139" s="69"/>
      <c r="O139" s="69"/>
      <c r="P139" s="69"/>
    </row>
    <row r="140" ht="14.25" customHeight="1">
      <c r="J140" s="69"/>
      <c r="N140" s="69"/>
      <c r="O140" s="69"/>
      <c r="P140" s="69"/>
    </row>
    <row r="141" ht="14.25" customHeight="1">
      <c r="J141" s="69"/>
      <c r="N141" s="69"/>
      <c r="O141" s="69"/>
      <c r="P141" s="69"/>
    </row>
    <row r="142" ht="14.25" customHeight="1">
      <c r="J142" s="69"/>
      <c r="N142" s="69"/>
      <c r="O142" s="69"/>
      <c r="P142" s="69"/>
    </row>
    <row r="143" ht="14.25" customHeight="1">
      <c r="J143" s="69"/>
      <c r="N143" s="69"/>
      <c r="O143" s="69"/>
      <c r="P143" s="69"/>
    </row>
    <row r="144" ht="14.25" customHeight="1">
      <c r="J144" s="69"/>
      <c r="N144" s="69"/>
      <c r="O144" s="69"/>
      <c r="P144" s="69"/>
    </row>
    <row r="145" ht="14.25" customHeight="1">
      <c r="J145" s="69"/>
      <c r="N145" s="69"/>
      <c r="O145" s="69"/>
      <c r="P145" s="69"/>
    </row>
    <row r="146" ht="14.25" customHeight="1">
      <c r="J146" s="69"/>
      <c r="N146" s="69"/>
      <c r="O146" s="69"/>
      <c r="P146" s="69"/>
    </row>
    <row r="147" ht="14.25" customHeight="1">
      <c r="J147" s="69"/>
      <c r="N147" s="69"/>
      <c r="O147" s="69"/>
      <c r="P147" s="69"/>
    </row>
    <row r="148" ht="14.25" customHeight="1">
      <c r="J148" s="69"/>
      <c r="N148" s="69"/>
      <c r="O148" s="69"/>
      <c r="P148" s="69"/>
    </row>
    <row r="149" ht="14.25" customHeight="1">
      <c r="J149" s="69"/>
      <c r="N149" s="69"/>
      <c r="O149" s="69"/>
      <c r="P149" s="69"/>
    </row>
    <row r="150" ht="14.25" customHeight="1">
      <c r="J150" s="69"/>
      <c r="N150" s="69"/>
      <c r="O150" s="69"/>
      <c r="P150" s="69"/>
    </row>
    <row r="151" ht="14.25" customHeight="1">
      <c r="J151" s="69"/>
      <c r="N151" s="69"/>
      <c r="O151" s="69"/>
      <c r="P151" s="69"/>
    </row>
    <row r="152" ht="14.25" customHeight="1">
      <c r="J152" s="69"/>
      <c r="N152" s="69"/>
      <c r="O152" s="69"/>
      <c r="P152" s="69"/>
    </row>
    <row r="153" ht="14.25" customHeight="1">
      <c r="J153" s="69"/>
      <c r="N153" s="69"/>
      <c r="O153" s="69"/>
      <c r="P153" s="69"/>
    </row>
    <row r="154" ht="14.25" customHeight="1">
      <c r="J154" s="69"/>
      <c r="N154" s="69"/>
      <c r="O154" s="69"/>
      <c r="P154" s="69"/>
    </row>
    <row r="155" ht="14.25" customHeight="1">
      <c r="J155" s="69"/>
      <c r="N155" s="69"/>
      <c r="O155" s="69"/>
      <c r="P155" s="69"/>
    </row>
    <row r="156" ht="14.25" customHeight="1">
      <c r="J156" s="69"/>
      <c r="N156" s="69"/>
      <c r="O156" s="69"/>
      <c r="P156" s="69"/>
    </row>
    <row r="157" ht="14.25" customHeight="1">
      <c r="J157" s="69"/>
      <c r="N157" s="69"/>
      <c r="O157" s="69"/>
      <c r="P157" s="69"/>
    </row>
    <row r="158" ht="14.25" customHeight="1">
      <c r="J158" s="69"/>
      <c r="N158" s="69"/>
      <c r="O158" s="69"/>
      <c r="P158" s="69"/>
    </row>
    <row r="159" ht="14.25" customHeight="1">
      <c r="J159" s="69"/>
      <c r="N159" s="69"/>
      <c r="O159" s="69"/>
      <c r="P159" s="69"/>
    </row>
    <row r="160" ht="14.25" customHeight="1">
      <c r="J160" s="69"/>
      <c r="N160" s="69"/>
      <c r="O160" s="69"/>
      <c r="P160" s="69"/>
    </row>
    <row r="161" ht="14.25" customHeight="1">
      <c r="J161" s="69"/>
      <c r="N161" s="69"/>
      <c r="O161" s="69"/>
      <c r="P161" s="69"/>
    </row>
    <row r="162" ht="14.25" customHeight="1">
      <c r="J162" s="69"/>
      <c r="N162" s="69"/>
      <c r="O162" s="69"/>
      <c r="P162" s="69"/>
    </row>
    <row r="163" ht="14.25" customHeight="1">
      <c r="J163" s="69"/>
      <c r="N163" s="69"/>
      <c r="O163" s="69"/>
      <c r="P163" s="69"/>
    </row>
    <row r="164" ht="14.25" customHeight="1">
      <c r="J164" s="69"/>
      <c r="N164" s="69"/>
      <c r="O164" s="69"/>
      <c r="P164" s="69"/>
    </row>
    <row r="165" ht="14.25" customHeight="1">
      <c r="J165" s="69"/>
      <c r="N165" s="69"/>
      <c r="O165" s="69"/>
      <c r="P165" s="69"/>
    </row>
    <row r="166" ht="14.25" customHeight="1">
      <c r="J166" s="69"/>
      <c r="N166" s="69"/>
      <c r="O166" s="69"/>
      <c r="P166" s="69"/>
    </row>
    <row r="167" ht="14.25" customHeight="1">
      <c r="J167" s="69"/>
      <c r="N167" s="69"/>
      <c r="O167" s="69"/>
      <c r="P167" s="69"/>
    </row>
    <row r="168" ht="14.25" customHeight="1">
      <c r="J168" s="69"/>
      <c r="N168" s="69"/>
      <c r="O168" s="69"/>
      <c r="P168" s="69"/>
    </row>
    <row r="169" ht="14.25" customHeight="1">
      <c r="J169" s="69"/>
      <c r="N169" s="69"/>
      <c r="O169" s="69"/>
      <c r="P169" s="69"/>
    </row>
    <row r="170" ht="14.25" customHeight="1">
      <c r="J170" s="69"/>
      <c r="N170" s="69"/>
      <c r="O170" s="69"/>
      <c r="P170" s="69"/>
    </row>
    <row r="171" ht="14.25" customHeight="1">
      <c r="J171" s="69"/>
      <c r="N171" s="69"/>
      <c r="O171" s="69"/>
      <c r="P171" s="69"/>
    </row>
    <row r="172" ht="14.25" customHeight="1">
      <c r="J172" s="69"/>
      <c r="N172" s="69"/>
      <c r="O172" s="69"/>
      <c r="P172" s="69"/>
    </row>
    <row r="173" ht="14.25" customHeight="1">
      <c r="J173" s="69"/>
      <c r="N173" s="69"/>
      <c r="O173" s="69"/>
      <c r="P173" s="69"/>
    </row>
    <row r="174" ht="14.25" customHeight="1">
      <c r="J174" s="69"/>
      <c r="N174" s="69"/>
      <c r="O174" s="69"/>
      <c r="P174" s="69"/>
    </row>
    <row r="175" ht="14.25" customHeight="1">
      <c r="J175" s="69"/>
      <c r="N175" s="69"/>
      <c r="O175" s="69"/>
      <c r="P175" s="69"/>
    </row>
    <row r="176" ht="14.25" customHeight="1">
      <c r="J176" s="69"/>
      <c r="N176" s="69"/>
      <c r="O176" s="69"/>
      <c r="P176" s="69"/>
    </row>
    <row r="177" ht="14.25" customHeight="1">
      <c r="J177" s="69"/>
      <c r="N177" s="69"/>
      <c r="O177" s="69"/>
      <c r="P177" s="69"/>
    </row>
    <row r="178" ht="14.25" customHeight="1">
      <c r="J178" s="69"/>
      <c r="N178" s="69"/>
      <c r="O178" s="69"/>
      <c r="P178" s="69"/>
    </row>
    <row r="179" ht="14.25" customHeight="1">
      <c r="J179" s="69"/>
      <c r="N179" s="69"/>
      <c r="O179" s="69"/>
      <c r="P179" s="69"/>
    </row>
    <row r="180" ht="14.25" customHeight="1">
      <c r="J180" s="69"/>
      <c r="N180" s="69"/>
      <c r="O180" s="69"/>
      <c r="P180" s="69"/>
    </row>
    <row r="181" ht="14.25" customHeight="1">
      <c r="J181" s="69"/>
      <c r="N181" s="69"/>
      <c r="O181" s="69"/>
      <c r="P181" s="69"/>
    </row>
    <row r="182" ht="14.25" customHeight="1">
      <c r="J182" s="69"/>
      <c r="N182" s="69"/>
      <c r="O182" s="69"/>
      <c r="P182" s="69"/>
    </row>
    <row r="183" ht="14.25" customHeight="1">
      <c r="J183" s="69"/>
      <c r="N183" s="69"/>
      <c r="O183" s="69"/>
      <c r="P183" s="69"/>
    </row>
    <row r="184" ht="14.25" customHeight="1">
      <c r="J184" s="69"/>
      <c r="N184" s="69"/>
      <c r="O184" s="69"/>
      <c r="P184" s="69"/>
    </row>
    <row r="185" ht="14.25" customHeight="1">
      <c r="J185" s="69"/>
      <c r="N185" s="69"/>
      <c r="O185" s="69"/>
      <c r="P185" s="69"/>
    </row>
    <row r="186" ht="14.25" customHeight="1">
      <c r="J186" s="69"/>
      <c r="N186" s="69"/>
      <c r="O186" s="69"/>
      <c r="P186" s="69"/>
    </row>
    <row r="187" ht="14.25" customHeight="1">
      <c r="J187" s="69"/>
      <c r="N187" s="69"/>
      <c r="O187" s="69"/>
      <c r="P187" s="69"/>
    </row>
    <row r="188" ht="14.25" customHeight="1">
      <c r="J188" s="69"/>
      <c r="N188" s="69"/>
      <c r="O188" s="69"/>
      <c r="P188" s="69"/>
    </row>
    <row r="189" ht="14.25" customHeight="1">
      <c r="J189" s="69"/>
      <c r="N189" s="69"/>
      <c r="O189" s="69"/>
      <c r="P189" s="69"/>
    </row>
    <row r="190" ht="14.25" customHeight="1">
      <c r="J190" s="69"/>
      <c r="N190" s="69"/>
      <c r="O190" s="69"/>
      <c r="P190" s="69"/>
    </row>
    <row r="191" ht="14.25" customHeight="1">
      <c r="J191" s="69"/>
      <c r="N191" s="69"/>
      <c r="O191" s="69"/>
      <c r="P191" s="69"/>
    </row>
    <row r="192" ht="14.25" customHeight="1">
      <c r="J192" s="69"/>
      <c r="N192" s="69"/>
      <c r="O192" s="69"/>
      <c r="P192" s="69"/>
    </row>
    <row r="193" ht="14.25" customHeight="1">
      <c r="J193" s="69"/>
      <c r="N193" s="69"/>
      <c r="O193" s="69"/>
      <c r="P193" s="69"/>
    </row>
    <row r="194" ht="14.25" customHeight="1">
      <c r="J194" s="69"/>
      <c r="N194" s="69"/>
      <c r="O194" s="69"/>
      <c r="P194" s="69"/>
    </row>
    <row r="195" ht="14.25" customHeight="1">
      <c r="J195" s="69"/>
      <c r="N195" s="69"/>
      <c r="O195" s="69"/>
      <c r="P195" s="69"/>
    </row>
    <row r="196" ht="14.25" customHeight="1">
      <c r="J196" s="69"/>
      <c r="N196" s="69"/>
      <c r="O196" s="69"/>
      <c r="P196" s="69"/>
    </row>
    <row r="197" ht="14.25" customHeight="1">
      <c r="J197" s="69"/>
      <c r="N197" s="69"/>
      <c r="O197" s="69"/>
      <c r="P197" s="69"/>
    </row>
    <row r="198" ht="14.25" customHeight="1">
      <c r="J198" s="69"/>
      <c r="N198" s="69"/>
      <c r="O198" s="69"/>
      <c r="P198" s="69"/>
    </row>
    <row r="199" ht="14.25" customHeight="1">
      <c r="J199" s="69"/>
      <c r="N199" s="69"/>
      <c r="O199" s="69"/>
      <c r="P199" s="69"/>
    </row>
    <row r="200" ht="14.25" customHeight="1">
      <c r="J200" s="69"/>
      <c r="N200" s="69"/>
      <c r="O200" s="69"/>
      <c r="P200" s="69"/>
    </row>
    <row r="201" ht="14.25" customHeight="1">
      <c r="J201" s="69"/>
      <c r="N201" s="69"/>
      <c r="O201" s="69"/>
      <c r="P201" s="69"/>
    </row>
    <row r="202" ht="14.25" customHeight="1">
      <c r="J202" s="69"/>
      <c r="N202" s="69"/>
      <c r="O202" s="69"/>
      <c r="P202" s="69"/>
    </row>
    <row r="203" ht="14.25" customHeight="1">
      <c r="J203" s="69"/>
      <c r="N203" s="69"/>
      <c r="O203" s="69"/>
      <c r="P203" s="69"/>
    </row>
    <row r="204" ht="14.25" customHeight="1">
      <c r="J204" s="69"/>
      <c r="N204" s="69"/>
      <c r="O204" s="69"/>
      <c r="P204" s="69"/>
    </row>
    <row r="205" ht="14.25" customHeight="1">
      <c r="J205" s="69"/>
      <c r="N205" s="69"/>
      <c r="O205" s="69"/>
      <c r="P205" s="69"/>
    </row>
    <row r="206" ht="14.25" customHeight="1">
      <c r="J206" s="69"/>
      <c r="N206" s="69"/>
      <c r="O206" s="69"/>
      <c r="P206" s="69"/>
    </row>
    <row r="207" ht="14.25" customHeight="1">
      <c r="J207" s="69"/>
      <c r="N207" s="69"/>
      <c r="O207" s="69"/>
      <c r="P207" s="69"/>
    </row>
    <row r="208" ht="14.25" customHeight="1">
      <c r="J208" s="69"/>
      <c r="N208" s="69"/>
      <c r="O208" s="69"/>
      <c r="P208" s="69"/>
    </row>
    <row r="209" ht="14.25" customHeight="1">
      <c r="J209" s="69"/>
      <c r="N209" s="69"/>
      <c r="O209" s="69"/>
      <c r="P209" s="69"/>
    </row>
    <row r="210" ht="14.25" customHeight="1">
      <c r="J210" s="69"/>
      <c r="N210" s="69"/>
      <c r="O210" s="69"/>
      <c r="P210" s="69"/>
    </row>
    <row r="211" ht="14.25" customHeight="1">
      <c r="J211" s="69"/>
      <c r="N211" s="69"/>
      <c r="O211" s="69"/>
      <c r="P211" s="69"/>
    </row>
    <row r="212" ht="14.25" customHeight="1">
      <c r="J212" s="69"/>
      <c r="N212" s="69"/>
      <c r="O212" s="69"/>
      <c r="P212" s="69"/>
    </row>
    <row r="213" ht="14.25" customHeight="1">
      <c r="J213" s="69"/>
      <c r="N213" s="69"/>
      <c r="O213" s="69"/>
      <c r="P213" s="69"/>
    </row>
    <row r="214" ht="14.25" customHeight="1">
      <c r="J214" s="69"/>
      <c r="N214" s="69"/>
      <c r="O214" s="69"/>
      <c r="P214" s="69"/>
    </row>
    <row r="215" ht="14.25" customHeight="1">
      <c r="J215" s="69"/>
      <c r="N215" s="69"/>
      <c r="O215" s="69"/>
      <c r="P215" s="69"/>
    </row>
    <row r="216" ht="14.25" customHeight="1">
      <c r="J216" s="69"/>
      <c r="N216" s="69"/>
      <c r="O216" s="69"/>
      <c r="P216" s="69"/>
    </row>
    <row r="217" ht="14.25" customHeight="1">
      <c r="J217" s="69"/>
      <c r="N217" s="69"/>
      <c r="O217" s="69"/>
      <c r="P217" s="69"/>
    </row>
    <row r="218" ht="14.25" customHeight="1">
      <c r="J218" s="69"/>
      <c r="N218" s="69"/>
      <c r="O218" s="69"/>
      <c r="P218" s="69"/>
    </row>
    <row r="219" ht="14.25" customHeight="1">
      <c r="J219" s="69"/>
      <c r="N219" s="69"/>
      <c r="O219" s="69"/>
      <c r="P219" s="69"/>
    </row>
    <row r="220" ht="14.25" customHeight="1">
      <c r="J220" s="69"/>
      <c r="N220" s="69"/>
      <c r="O220" s="69"/>
      <c r="P220" s="69"/>
    </row>
    <row r="221" ht="14.25" customHeight="1">
      <c r="J221" s="69"/>
      <c r="N221" s="69"/>
      <c r="O221" s="69"/>
      <c r="P221" s="69"/>
    </row>
    <row r="222" ht="14.25" customHeight="1">
      <c r="J222" s="69"/>
      <c r="N222" s="69"/>
      <c r="O222" s="69"/>
      <c r="P222" s="69"/>
    </row>
    <row r="223" ht="14.25" customHeight="1">
      <c r="J223" s="69"/>
      <c r="N223" s="69"/>
      <c r="O223" s="69"/>
      <c r="P223" s="69"/>
    </row>
    <row r="224" ht="14.25" customHeight="1">
      <c r="J224" s="69"/>
      <c r="N224" s="69"/>
      <c r="O224" s="69"/>
      <c r="P224" s="69"/>
    </row>
    <row r="225" ht="14.25" customHeight="1">
      <c r="J225" s="69"/>
      <c r="N225" s="69"/>
      <c r="O225" s="69"/>
      <c r="P225" s="69"/>
    </row>
    <row r="226" ht="14.25" customHeight="1">
      <c r="J226" s="69"/>
      <c r="N226" s="69"/>
      <c r="O226" s="69"/>
      <c r="P226" s="69"/>
    </row>
    <row r="227" ht="14.25" customHeight="1">
      <c r="J227" s="69"/>
      <c r="N227" s="69"/>
      <c r="O227" s="69"/>
      <c r="P227" s="69"/>
    </row>
    <row r="228" ht="14.25" customHeight="1">
      <c r="J228" s="69"/>
      <c r="N228" s="69"/>
      <c r="O228" s="69"/>
      <c r="P228" s="69"/>
    </row>
    <row r="229" ht="14.25" customHeight="1">
      <c r="J229" s="69"/>
      <c r="N229" s="69"/>
      <c r="O229" s="69"/>
      <c r="P229" s="69"/>
    </row>
    <row r="230" ht="14.25" customHeight="1">
      <c r="J230" s="69"/>
      <c r="N230" s="69"/>
      <c r="O230" s="69"/>
      <c r="P230" s="69"/>
    </row>
    <row r="231" ht="14.25" customHeight="1">
      <c r="J231" s="69"/>
      <c r="N231" s="69"/>
      <c r="O231" s="69"/>
      <c r="P231" s="69"/>
    </row>
    <row r="232" ht="14.25" customHeight="1">
      <c r="J232" s="69"/>
      <c r="N232" s="69"/>
      <c r="O232" s="69"/>
      <c r="P232" s="69"/>
    </row>
    <row r="233" ht="14.25" customHeight="1">
      <c r="J233" s="69"/>
      <c r="N233" s="69"/>
      <c r="O233" s="69"/>
      <c r="P233" s="69"/>
    </row>
    <row r="234" ht="14.25" customHeight="1">
      <c r="J234" s="69"/>
      <c r="N234" s="69"/>
      <c r="O234" s="69"/>
      <c r="P234" s="69"/>
    </row>
    <row r="235" ht="14.25" customHeight="1">
      <c r="J235" s="69"/>
      <c r="N235" s="69"/>
      <c r="O235" s="69"/>
      <c r="P235" s="69"/>
    </row>
    <row r="236" ht="14.25" customHeight="1">
      <c r="J236" s="69"/>
      <c r="N236" s="69"/>
      <c r="O236" s="69"/>
      <c r="P236" s="69"/>
    </row>
    <row r="237" ht="14.25" customHeight="1">
      <c r="J237" s="69"/>
      <c r="N237" s="69"/>
      <c r="O237" s="69"/>
      <c r="P237" s="69"/>
    </row>
    <row r="238" ht="14.25" customHeight="1">
      <c r="J238" s="69"/>
      <c r="N238" s="69"/>
      <c r="O238" s="69"/>
      <c r="P238" s="69"/>
    </row>
    <row r="239" ht="14.25" customHeight="1">
      <c r="J239" s="69"/>
      <c r="N239" s="69"/>
      <c r="O239" s="69"/>
      <c r="P239" s="69"/>
    </row>
    <row r="240" ht="14.25" customHeight="1">
      <c r="J240" s="69"/>
      <c r="N240" s="69"/>
      <c r="O240" s="69"/>
      <c r="P240" s="69"/>
    </row>
    <row r="241" ht="14.25" customHeight="1">
      <c r="J241" s="69"/>
      <c r="N241" s="69"/>
      <c r="O241" s="69"/>
      <c r="P241" s="69"/>
    </row>
    <row r="242" ht="14.25" customHeight="1">
      <c r="J242" s="69"/>
      <c r="N242" s="69"/>
      <c r="O242" s="69"/>
      <c r="P242" s="69"/>
    </row>
    <row r="243" ht="14.25" customHeight="1">
      <c r="J243" s="69"/>
      <c r="N243" s="69"/>
      <c r="O243" s="69"/>
      <c r="P243" s="69"/>
    </row>
    <row r="244" ht="14.25" customHeight="1">
      <c r="J244" s="69"/>
      <c r="N244" s="69"/>
      <c r="O244" s="69"/>
      <c r="P244" s="69"/>
    </row>
    <row r="245" ht="14.25" customHeight="1">
      <c r="J245" s="69"/>
      <c r="N245" s="69"/>
      <c r="O245" s="69"/>
      <c r="P245" s="69"/>
    </row>
    <row r="246" ht="14.25" customHeight="1">
      <c r="J246" s="69"/>
      <c r="N246" s="69"/>
      <c r="O246" s="69"/>
      <c r="P246" s="69"/>
    </row>
    <row r="247" ht="14.25" customHeight="1">
      <c r="J247" s="69"/>
      <c r="N247" s="69"/>
      <c r="O247" s="69"/>
      <c r="P247" s="69"/>
    </row>
    <row r="248" ht="14.25" customHeight="1">
      <c r="J248" s="69"/>
      <c r="N248" s="69"/>
      <c r="O248" s="69"/>
      <c r="P248" s="69"/>
    </row>
    <row r="249" ht="14.25" customHeight="1">
      <c r="J249" s="69"/>
      <c r="N249" s="69"/>
      <c r="O249" s="69"/>
      <c r="P249" s="69"/>
    </row>
    <row r="250" ht="14.25" customHeight="1">
      <c r="J250" s="69"/>
      <c r="N250" s="69"/>
      <c r="O250" s="69"/>
      <c r="P250" s="69"/>
    </row>
    <row r="251" ht="14.25" customHeight="1">
      <c r="J251" s="69"/>
      <c r="N251" s="69"/>
      <c r="O251" s="69"/>
      <c r="P251" s="69"/>
    </row>
    <row r="252" ht="14.25" customHeight="1">
      <c r="J252" s="69"/>
      <c r="N252" s="69"/>
      <c r="O252" s="69"/>
      <c r="P252" s="69"/>
    </row>
    <row r="253" ht="14.25" customHeight="1">
      <c r="J253" s="69"/>
      <c r="N253" s="69"/>
      <c r="O253" s="69"/>
      <c r="P253" s="69"/>
    </row>
    <row r="254" ht="14.25" customHeight="1">
      <c r="J254" s="69"/>
      <c r="N254" s="69"/>
      <c r="O254" s="69"/>
      <c r="P254" s="69"/>
    </row>
    <row r="255" ht="14.25" customHeight="1">
      <c r="J255" s="69"/>
      <c r="N255" s="69"/>
      <c r="O255" s="69"/>
      <c r="P255" s="69"/>
    </row>
    <row r="256" ht="14.25" customHeight="1">
      <c r="J256" s="69"/>
      <c r="N256" s="69"/>
      <c r="O256" s="69"/>
      <c r="P256" s="69"/>
    </row>
    <row r="257" ht="14.25" customHeight="1">
      <c r="J257" s="69"/>
      <c r="N257" s="69"/>
      <c r="O257" s="69"/>
      <c r="P257" s="69"/>
    </row>
    <row r="258" ht="14.25" customHeight="1">
      <c r="J258" s="69"/>
      <c r="N258" s="69"/>
      <c r="O258" s="69"/>
      <c r="P258" s="69"/>
    </row>
    <row r="259" ht="14.25" customHeight="1">
      <c r="J259" s="69"/>
      <c r="N259" s="69"/>
      <c r="O259" s="69"/>
      <c r="P259" s="69"/>
    </row>
    <row r="260" ht="14.25" customHeight="1">
      <c r="J260" s="69"/>
      <c r="N260" s="69"/>
      <c r="O260" s="69"/>
      <c r="P260" s="69"/>
    </row>
    <row r="261" ht="14.25" customHeight="1">
      <c r="J261" s="69"/>
      <c r="N261" s="69"/>
      <c r="O261" s="69"/>
      <c r="P261" s="69"/>
    </row>
    <row r="262" ht="14.25" customHeight="1">
      <c r="J262" s="69"/>
      <c r="N262" s="69"/>
      <c r="O262" s="69"/>
      <c r="P262" s="69"/>
    </row>
    <row r="263" ht="14.25" customHeight="1">
      <c r="J263" s="69"/>
      <c r="N263" s="69"/>
      <c r="O263" s="69"/>
      <c r="P263" s="69"/>
    </row>
    <row r="264" ht="14.25" customHeight="1">
      <c r="J264" s="69"/>
      <c r="N264" s="69"/>
      <c r="O264" s="69"/>
      <c r="P264" s="69"/>
    </row>
    <row r="265" ht="14.25" customHeight="1">
      <c r="J265" s="69"/>
      <c r="N265" s="69"/>
      <c r="O265" s="69"/>
      <c r="P265" s="69"/>
    </row>
    <row r="266" ht="14.25" customHeight="1">
      <c r="J266" s="69"/>
      <c r="N266" s="69"/>
      <c r="O266" s="69"/>
      <c r="P266" s="69"/>
    </row>
    <row r="267" ht="14.25" customHeight="1">
      <c r="J267" s="69"/>
      <c r="N267" s="69"/>
      <c r="O267" s="69"/>
      <c r="P267" s="69"/>
    </row>
    <row r="268" ht="14.25" customHeight="1">
      <c r="J268" s="69"/>
      <c r="N268" s="69"/>
      <c r="O268" s="69"/>
      <c r="P268" s="69"/>
    </row>
    <row r="269" ht="14.25" customHeight="1">
      <c r="J269" s="69"/>
      <c r="N269" s="69"/>
      <c r="O269" s="69"/>
      <c r="P269" s="69"/>
    </row>
    <row r="270" ht="14.25" customHeight="1">
      <c r="J270" s="69"/>
      <c r="N270" s="69"/>
      <c r="O270" s="69"/>
      <c r="P270" s="69"/>
    </row>
    <row r="271" ht="14.25" customHeight="1">
      <c r="J271" s="69"/>
      <c r="N271" s="69"/>
      <c r="O271" s="69"/>
      <c r="P271" s="69"/>
    </row>
    <row r="272" ht="14.25" customHeight="1">
      <c r="J272" s="69"/>
      <c r="N272" s="69"/>
      <c r="O272" s="69"/>
      <c r="P272" s="69"/>
    </row>
    <row r="273" ht="14.25" customHeight="1">
      <c r="J273" s="69"/>
      <c r="N273" s="69"/>
      <c r="O273" s="69"/>
      <c r="P273" s="69"/>
    </row>
    <row r="274" ht="14.25" customHeight="1">
      <c r="J274" s="69"/>
      <c r="N274" s="69"/>
      <c r="O274" s="69"/>
      <c r="P274" s="69"/>
    </row>
    <row r="275" ht="14.25" customHeight="1">
      <c r="J275" s="69"/>
      <c r="N275" s="69"/>
      <c r="O275" s="69"/>
      <c r="P275" s="69"/>
    </row>
    <row r="276" ht="14.25" customHeight="1">
      <c r="J276" s="69"/>
      <c r="N276" s="69"/>
      <c r="O276" s="69"/>
      <c r="P276" s="69"/>
    </row>
    <row r="277" ht="14.25" customHeight="1">
      <c r="J277" s="69"/>
      <c r="N277" s="69"/>
      <c r="O277" s="69"/>
      <c r="P277" s="69"/>
    </row>
    <row r="278" ht="14.25" customHeight="1">
      <c r="J278" s="69"/>
      <c r="N278" s="69"/>
      <c r="O278" s="69"/>
      <c r="P278" s="69"/>
    </row>
    <row r="279" ht="14.25" customHeight="1">
      <c r="J279" s="69"/>
      <c r="N279" s="69"/>
      <c r="O279" s="69"/>
      <c r="P279" s="69"/>
    </row>
    <row r="280" ht="14.25" customHeight="1">
      <c r="J280" s="69"/>
      <c r="N280" s="69"/>
      <c r="O280" s="69"/>
      <c r="P280" s="69"/>
    </row>
    <row r="281" ht="14.25" customHeight="1">
      <c r="J281" s="69"/>
      <c r="N281" s="69"/>
      <c r="O281" s="69"/>
      <c r="P281" s="69"/>
    </row>
    <row r="282" ht="14.25" customHeight="1">
      <c r="J282" s="69"/>
      <c r="N282" s="69"/>
      <c r="O282" s="69"/>
      <c r="P282" s="69"/>
    </row>
    <row r="283" ht="14.25" customHeight="1">
      <c r="J283" s="69"/>
      <c r="N283" s="69"/>
      <c r="O283" s="69"/>
      <c r="P283" s="69"/>
    </row>
    <row r="284" ht="14.25" customHeight="1">
      <c r="J284" s="69"/>
      <c r="N284" s="69"/>
      <c r="O284" s="69"/>
      <c r="P284" s="69"/>
    </row>
    <row r="285" ht="14.25" customHeight="1">
      <c r="J285" s="69"/>
      <c r="N285" s="69"/>
      <c r="O285" s="69"/>
      <c r="P285" s="69"/>
    </row>
    <row r="286" ht="14.25" customHeight="1">
      <c r="J286" s="69"/>
      <c r="N286" s="69"/>
      <c r="O286" s="69"/>
      <c r="P286" s="69"/>
    </row>
    <row r="287" ht="14.25" customHeight="1">
      <c r="J287" s="69"/>
      <c r="N287" s="69"/>
      <c r="O287" s="69"/>
      <c r="P287" s="69"/>
    </row>
    <row r="288" ht="14.25" customHeight="1">
      <c r="J288" s="69"/>
      <c r="N288" s="69"/>
      <c r="O288" s="69"/>
      <c r="P288" s="69"/>
    </row>
    <row r="289" ht="14.25" customHeight="1">
      <c r="J289" s="69"/>
      <c r="N289" s="69"/>
      <c r="O289" s="69"/>
      <c r="P289" s="69"/>
    </row>
    <row r="290" ht="14.25" customHeight="1">
      <c r="J290" s="69"/>
      <c r="N290" s="69"/>
      <c r="O290" s="69"/>
      <c r="P290" s="69"/>
    </row>
    <row r="291" ht="14.25" customHeight="1">
      <c r="J291" s="69"/>
      <c r="N291" s="69"/>
      <c r="O291" s="69"/>
      <c r="P291" s="69"/>
    </row>
    <row r="292" ht="14.25" customHeight="1">
      <c r="J292" s="69"/>
      <c r="N292" s="69"/>
      <c r="O292" s="69"/>
      <c r="P292" s="69"/>
    </row>
    <row r="293" ht="14.25" customHeight="1">
      <c r="J293" s="69"/>
      <c r="N293" s="69"/>
      <c r="O293" s="69"/>
      <c r="P293" s="69"/>
    </row>
    <row r="294" ht="14.25" customHeight="1">
      <c r="J294" s="69"/>
      <c r="N294" s="69"/>
      <c r="O294" s="69"/>
      <c r="P294" s="69"/>
    </row>
    <row r="295" ht="14.25" customHeight="1">
      <c r="J295" s="69"/>
      <c r="N295" s="69"/>
      <c r="O295" s="69"/>
      <c r="P295" s="69"/>
    </row>
    <row r="296" ht="14.25" customHeight="1">
      <c r="J296" s="69"/>
      <c r="N296" s="69"/>
      <c r="O296" s="69"/>
      <c r="P296" s="69"/>
    </row>
    <row r="297" ht="14.25" customHeight="1">
      <c r="J297" s="69"/>
      <c r="N297" s="69"/>
      <c r="O297" s="69"/>
      <c r="P297" s="69"/>
    </row>
    <row r="298" ht="14.25" customHeight="1">
      <c r="J298" s="69"/>
      <c r="N298" s="69"/>
      <c r="O298" s="69"/>
      <c r="P298" s="69"/>
    </row>
    <row r="299" ht="14.25" customHeight="1">
      <c r="J299" s="69"/>
      <c r="N299" s="69"/>
      <c r="O299" s="69"/>
      <c r="P299" s="69"/>
    </row>
    <row r="300" ht="14.25" customHeight="1">
      <c r="J300" s="69"/>
      <c r="N300" s="69"/>
      <c r="O300" s="69"/>
      <c r="P300" s="69"/>
    </row>
    <row r="301" ht="14.25" customHeight="1">
      <c r="J301" s="69"/>
      <c r="N301" s="69"/>
      <c r="O301" s="69"/>
      <c r="P301" s="69"/>
    </row>
    <row r="302" ht="14.25" customHeight="1">
      <c r="J302" s="69"/>
      <c r="N302" s="69"/>
      <c r="O302" s="69"/>
      <c r="P302" s="69"/>
    </row>
    <row r="303" ht="14.25" customHeight="1">
      <c r="J303" s="69"/>
      <c r="N303" s="69"/>
      <c r="O303" s="69"/>
      <c r="P303" s="69"/>
    </row>
    <row r="304" ht="14.25" customHeight="1">
      <c r="J304" s="69"/>
      <c r="N304" s="69"/>
      <c r="O304" s="69"/>
      <c r="P304" s="69"/>
    </row>
    <row r="305" ht="14.25" customHeight="1">
      <c r="J305" s="69"/>
      <c r="N305" s="69"/>
      <c r="O305" s="69"/>
      <c r="P305" s="69"/>
    </row>
    <row r="306" ht="14.25" customHeight="1">
      <c r="J306" s="69"/>
      <c r="N306" s="69"/>
      <c r="O306" s="69"/>
      <c r="P306" s="69"/>
    </row>
    <row r="307" ht="14.25" customHeight="1">
      <c r="J307" s="69"/>
      <c r="N307" s="69"/>
      <c r="O307" s="69"/>
      <c r="P307" s="69"/>
    </row>
    <row r="308" ht="14.25" customHeight="1">
      <c r="J308" s="69"/>
      <c r="N308" s="69"/>
      <c r="O308" s="69"/>
      <c r="P308" s="69"/>
    </row>
    <row r="309" ht="14.25" customHeight="1">
      <c r="J309" s="69"/>
      <c r="N309" s="69"/>
      <c r="O309" s="69"/>
      <c r="P309" s="69"/>
    </row>
    <row r="310" ht="14.25" customHeight="1">
      <c r="J310" s="69"/>
      <c r="N310" s="69"/>
      <c r="O310" s="69"/>
      <c r="P310" s="69"/>
    </row>
    <row r="311" ht="14.25" customHeight="1">
      <c r="J311" s="69"/>
      <c r="N311" s="69"/>
      <c r="O311" s="69"/>
      <c r="P311" s="69"/>
    </row>
    <row r="312" ht="14.25" customHeight="1">
      <c r="J312" s="69"/>
      <c r="N312" s="69"/>
      <c r="O312" s="69"/>
      <c r="P312" s="69"/>
    </row>
    <row r="313" ht="14.25" customHeight="1">
      <c r="J313" s="69"/>
      <c r="N313" s="69"/>
      <c r="O313" s="69"/>
      <c r="P313" s="69"/>
    </row>
    <row r="314" ht="14.25" customHeight="1">
      <c r="J314" s="69"/>
      <c r="N314" s="69"/>
      <c r="O314" s="69"/>
      <c r="P314" s="69"/>
    </row>
    <row r="315" ht="14.25" customHeight="1">
      <c r="J315" s="69"/>
      <c r="N315" s="69"/>
      <c r="O315" s="69"/>
      <c r="P315" s="69"/>
    </row>
    <row r="316" ht="14.25" customHeight="1">
      <c r="J316" s="69"/>
      <c r="N316" s="69"/>
      <c r="O316" s="69"/>
      <c r="P316" s="69"/>
    </row>
    <row r="317" ht="14.25" customHeight="1">
      <c r="J317" s="69"/>
      <c r="N317" s="69"/>
      <c r="O317" s="69"/>
      <c r="P317" s="69"/>
    </row>
    <row r="318" ht="14.25" customHeight="1">
      <c r="J318" s="69"/>
      <c r="N318" s="69"/>
      <c r="O318" s="69"/>
      <c r="P318" s="69"/>
    </row>
    <row r="319" ht="14.25" customHeight="1">
      <c r="J319" s="69"/>
      <c r="N319" s="69"/>
      <c r="O319" s="69"/>
      <c r="P319" s="69"/>
    </row>
    <row r="320" ht="14.25" customHeight="1">
      <c r="J320" s="69"/>
      <c r="N320" s="69"/>
      <c r="O320" s="69"/>
      <c r="P320" s="69"/>
    </row>
    <row r="321" ht="14.25" customHeight="1">
      <c r="J321" s="69"/>
      <c r="N321" s="69"/>
      <c r="O321" s="69"/>
      <c r="P321" s="69"/>
    </row>
    <row r="322" ht="14.25" customHeight="1">
      <c r="J322" s="69"/>
      <c r="N322" s="69"/>
      <c r="O322" s="69"/>
      <c r="P322" s="69"/>
    </row>
    <row r="323" ht="14.25" customHeight="1">
      <c r="J323" s="69"/>
      <c r="N323" s="69"/>
      <c r="O323" s="69"/>
      <c r="P323" s="69"/>
    </row>
    <row r="324" ht="14.25" customHeight="1">
      <c r="J324" s="69"/>
      <c r="N324" s="69"/>
      <c r="O324" s="69"/>
      <c r="P324" s="69"/>
    </row>
    <row r="325" ht="14.25" customHeight="1">
      <c r="J325" s="69"/>
      <c r="N325" s="69"/>
      <c r="O325" s="69"/>
      <c r="P325" s="69"/>
    </row>
    <row r="326" ht="14.25" customHeight="1">
      <c r="J326" s="69"/>
      <c r="N326" s="69"/>
      <c r="O326" s="69"/>
      <c r="P326" s="69"/>
    </row>
    <row r="327" ht="14.25" customHeight="1">
      <c r="J327" s="69"/>
      <c r="N327" s="69"/>
      <c r="O327" s="69"/>
      <c r="P327" s="69"/>
    </row>
    <row r="328" ht="14.25" customHeight="1">
      <c r="J328" s="69"/>
      <c r="N328" s="69"/>
      <c r="O328" s="69"/>
      <c r="P328" s="69"/>
    </row>
    <row r="329" ht="14.25" customHeight="1">
      <c r="J329" s="69"/>
      <c r="N329" s="69"/>
      <c r="O329" s="69"/>
      <c r="P329" s="69"/>
    </row>
    <row r="330" ht="14.25" customHeight="1">
      <c r="J330" s="69"/>
      <c r="N330" s="69"/>
      <c r="O330" s="69"/>
      <c r="P330" s="69"/>
    </row>
    <row r="331" ht="14.25" customHeight="1">
      <c r="J331" s="69"/>
      <c r="N331" s="69"/>
      <c r="O331" s="69"/>
      <c r="P331" s="69"/>
    </row>
    <row r="332" ht="14.25" customHeight="1">
      <c r="J332" s="69"/>
      <c r="N332" s="69"/>
      <c r="O332" s="69"/>
      <c r="P332" s="69"/>
    </row>
    <row r="333" ht="14.25" customHeight="1">
      <c r="J333" s="69"/>
      <c r="N333" s="69"/>
      <c r="O333" s="69"/>
      <c r="P333" s="69"/>
    </row>
    <row r="334" ht="14.25" customHeight="1">
      <c r="J334" s="69"/>
      <c r="N334" s="69"/>
      <c r="O334" s="69"/>
      <c r="P334" s="69"/>
    </row>
    <row r="335" ht="14.25" customHeight="1">
      <c r="J335" s="69"/>
      <c r="N335" s="69"/>
      <c r="O335" s="69"/>
      <c r="P335" s="69"/>
    </row>
    <row r="336" ht="14.25" customHeight="1">
      <c r="J336" s="69"/>
      <c r="N336" s="69"/>
      <c r="O336" s="69"/>
      <c r="P336" s="69"/>
    </row>
    <row r="337" ht="14.25" customHeight="1">
      <c r="J337" s="69"/>
      <c r="N337" s="69"/>
      <c r="O337" s="69"/>
      <c r="P337" s="69"/>
    </row>
    <row r="338" ht="14.25" customHeight="1">
      <c r="J338" s="69"/>
      <c r="N338" s="69"/>
      <c r="O338" s="69"/>
      <c r="P338" s="69"/>
    </row>
    <row r="339" ht="14.25" customHeight="1">
      <c r="J339" s="69"/>
      <c r="N339" s="69"/>
      <c r="O339" s="69"/>
      <c r="P339" s="69"/>
    </row>
    <row r="340" ht="14.25" customHeight="1">
      <c r="J340" s="69"/>
      <c r="N340" s="69"/>
      <c r="O340" s="69"/>
      <c r="P340" s="69"/>
    </row>
    <row r="341" ht="14.25" customHeight="1">
      <c r="J341" s="69"/>
      <c r="N341" s="69"/>
      <c r="O341" s="69"/>
      <c r="P341" s="69"/>
    </row>
    <row r="342" ht="14.25" customHeight="1">
      <c r="J342" s="69"/>
      <c r="N342" s="69"/>
      <c r="O342" s="69"/>
      <c r="P342" s="69"/>
    </row>
    <row r="343" ht="14.25" customHeight="1">
      <c r="J343" s="69"/>
      <c r="N343" s="69"/>
      <c r="O343" s="69"/>
      <c r="P343" s="69"/>
    </row>
    <row r="344" ht="14.25" customHeight="1">
      <c r="J344" s="69"/>
      <c r="N344" s="69"/>
      <c r="O344" s="69"/>
      <c r="P344" s="69"/>
    </row>
    <row r="345" ht="14.25" customHeight="1">
      <c r="J345" s="69"/>
      <c r="N345" s="69"/>
      <c r="O345" s="69"/>
      <c r="P345" s="69"/>
    </row>
    <row r="346" ht="14.25" customHeight="1">
      <c r="J346" s="69"/>
      <c r="N346" s="69"/>
      <c r="O346" s="69"/>
      <c r="P346" s="69"/>
    </row>
    <row r="347" ht="14.25" customHeight="1">
      <c r="J347" s="69"/>
      <c r="N347" s="69"/>
      <c r="O347" s="69"/>
      <c r="P347" s="69"/>
    </row>
    <row r="348" ht="14.25" customHeight="1">
      <c r="J348" s="69"/>
      <c r="N348" s="69"/>
      <c r="O348" s="69"/>
      <c r="P348" s="69"/>
    </row>
    <row r="349" ht="14.25" customHeight="1">
      <c r="J349" s="69"/>
      <c r="N349" s="69"/>
      <c r="O349" s="69"/>
      <c r="P349" s="69"/>
    </row>
    <row r="350" ht="14.25" customHeight="1">
      <c r="J350" s="69"/>
      <c r="N350" s="69"/>
      <c r="O350" s="69"/>
      <c r="P350" s="69"/>
    </row>
    <row r="351" ht="14.25" customHeight="1">
      <c r="J351" s="69"/>
      <c r="N351" s="69"/>
      <c r="O351" s="69"/>
      <c r="P351" s="69"/>
    </row>
    <row r="352" ht="14.25" customHeight="1">
      <c r="J352" s="69"/>
      <c r="N352" s="69"/>
      <c r="O352" s="69"/>
      <c r="P352" s="69"/>
    </row>
    <row r="353" ht="14.25" customHeight="1">
      <c r="J353" s="69"/>
      <c r="N353" s="69"/>
      <c r="O353" s="69"/>
      <c r="P353" s="69"/>
    </row>
    <row r="354" ht="14.25" customHeight="1">
      <c r="J354" s="69"/>
      <c r="N354" s="69"/>
      <c r="O354" s="69"/>
      <c r="P354" s="69"/>
    </row>
    <row r="355" ht="14.25" customHeight="1">
      <c r="J355" s="69"/>
      <c r="N355" s="69"/>
      <c r="O355" s="69"/>
      <c r="P355" s="69"/>
    </row>
    <row r="356" ht="14.25" customHeight="1">
      <c r="J356" s="69"/>
      <c r="N356" s="69"/>
      <c r="O356" s="69"/>
      <c r="P356" s="69"/>
    </row>
    <row r="357" ht="14.25" customHeight="1">
      <c r="J357" s="69"/>
      <c r="N357" s="69"/>
      <c r="O357" s="69"/>
      <c r="P357" s="69"/>
    </row>
    <row r="358" ht="14.25" customHeight="1">
      <c r="J358" s="69"/>
      <c r="N358" s="69"/>
      <c r="O358" s="69"/>
      <c r="P358" s="69"/>
    </row>
    <row r="359" ht="14.25" customHeight="1">
      <c r="J359" s="69"/>
      <c r="N359" s="69"/>
      <c r="O359" s="69"/>
      <c r="P359" s="69"/>
    </row>
    <row r="360" ht="14.25" customHeight="1">
      <c r="J360" s="69"/>
      <c r="N360" s="69"/>
      <c r="O360" s="69"/>
      <c r="P360" s="69"/>
    </row>
    <row r="361" ht="14.25" customHeight="1">
      <c r="J361" s="69"/>
      <c r="N361" s="69"/>
      <c r="O361" s="69"/>
      <c r="P361" s="69"/>
    </row>
    <row r="362" ht="14.25" customHeight="1">
      <c r="J362" s="69"/>
      <c r="N362" s="69"/>
      <c r="O362" s="69"/>
      <c r="P362" s="69"/>
    </row>
    <row r="363" ht="14.25" customHeight="1">
      <c r="J363" s="69"/>
      <c r="N363" s="69"/>
      <c r="O363" s="69"/>
      <c r="P363" s="69"/>
    </row>
    <row r="364" ht="14.25" customHeight="1">
      <c r="J364" s="69"/>
      <c r="N364" s="69"/>
      <c r="O364" s="69"/>
      <c r="P364" s="69"/>
    </row>
    <row r="365" ht="14.25" customHeight="1">
      <c r="J365" s="69"/>
      <c r="N365" s="69"/>
      <c r="O365" s="69"/>
      <c r="P365" s="69"/>
    </row>
    <row r="366" ht="14.25" customHeight="1">
      <c r="J366" s="69"/>
      <c r="N366" s="69"/>
      <c r="O366" s="69"/>
      <c r="P366" s="69"/>
    </row>
    <row r="367" ht="14.25" customHeight="1">
      <c r="J367" s="69"/>
      <c r="N367" s="69"/>
      <c r="O367" s="69"/>
      <c r="P367" s="69"/>
    </row>
    <row r="368" ht="14.25" customHeight="1">
      <c r="J368" s="69"/>
      <c r="N368" s="69"/>
      <c r="O368" s="69"/>
      <c r="P368" s="69"/>
    </row>
    <row r="369" ht="14.25" customHeight="1">
      <c r="J369" s="69"/>
      <c r="N369" s="69"/>
      <c r="O369" s="69"/>
      <c r="P369" s="69"/>
    </row>
    <row r="370" ht="14.25" customHeight="1">
      <c r="J370" s="69"/>
      <c r="N370" s="69"/>
      <c r="O370" s="69"/>
      <c r="P370" s="69"/>
    </row>
    <row r="371" ht="14.25" customHeight="1">
      <c r="J371" s="69"/>
      <c r="N371" s="69"/>
      <c r="O371" s="69"/>
      <c r="P371" s="69"/>
    </row>
    <row r="372" ht="14.25" customHeight="1">
      <c r="J372" s="69"/>
      <c r="N372" s="69"/>
      <c r="O372" s="69"/>
      <c r="P372" s="69"/>
    </row>
    <row r="373" ht="14.25" customHeight="1">
      <c r="J373" s="69"/>
      <c r="N373" s="69"/>
      <c r="O373" s="69"/>
      <c r="P373" s="69"/>
    </row>
    <row r="374" ht="14.25" customHeight="1">
      <c r="J374" s="69"/>
      <c r="N374" s="69"/>
      <c r="O374" s="69"/>
      <c r="P374" s="69"/>
    </row>
    <row r="375" ht="14.25" customHeight="1">
      <c r="J375" s="69"/>
      <c r="N375" s="69"/>
      <c r="O375" s="69"/>
      <c r="P375" s="69"/>
    </row>
    <row r="376" ht="14.25" customHeight="1">
      <c r="J376" s="69"/>
      <c r="N376" s="69"/>
      <c r="O376" s="69"/>
      <c r="P376" s="69"/>
    </row>
    <row r="377" ht="14.25" customHeight="1">
      <c r="J377" s="69"/>
      <c r="N377" s="69"/>
      <c r="O377" s="69"/>
      <c r="P377" s="69"/>
    </row>
    <row r="378" ht="14.25" customHeight="1">
      <c r="J378" s="69"/>
      <c r="N378" s="69"/>
      <c r="O378" s="69"/>
      <c r="P378" s="69"/>
    </row>
    <row r="379" ht="14.25" customHeight="1">
      <c r="J379" s="69"/>
      <c r="N379" s="69"/>
      <c r="O379" s="69"/>
      <c r="P379" s="69"/>
    </row>
    <row r="380" ht="14.25" customHeight="1">
      <c r="J380" s="69"/>
      <c r="N380" s="69"/>
      <c r="O380" s="69"/>
      <c r="P380" s="69"/>
    </row>
    <row r="381" ht="14.25" customHeight="1">
      <c r="J381" s="69"/>
      <c r="N381" s="69"/>
      <c r="O381" s="69"/>
      <c r="P381" s="69"/>
    </row>
    <row r="382" ht="14.25" customHeight="1">
      <c r="J382" s="69"/>
      <c r="N382" s="69"/>
      <c r="O382" s="69"/>
      <c r="P382" s="69"/>
    </row>
    <row r="383" ht="14.25" customHeight="1">
      <c r="J383" s="69"/>
      <c r="N383" s="69"/>
      <c r="O383" s="69"/>
      <c r="P383" s="69"/>
    </row>
    <row r="384" ht="14.25" customHeight="1">
      <c r="J384" s="69"/>
      <c r="N384" s="69"/>
      <c r="O384" s="69"/>
      <c r="P384" s="69"/>
    </row>
    <row r="385" ht="14.25" customHeight="1">
      <c r="J385" s="69"/>
      <c r="N385" s="69"/>
      <c r="O385" s="69"/>
      <c r="P385" s="69"/>
    </row>
    <row r="386" ht="14.25" customHeight="1">
      <c r="J386" s="69"/>
      <c r="N386" s="69"/>
      <c r="O386" s="69"/>
      <c r="P386" s="69"/>
    </row>
    <row r="387" ht="14.25" customHeight="1">
      <c r="J387" s="69"/>
      <c r="N387" s="69"/>
      <c r="O387" s="69"/>
      <c r="P387" s="69"/>
    </row>
    <row r="388" ht="14.25" customHeight="1">
      <c r="J388" s="69"/>
      <c r="N388" s="69"/>
      <c r="O388" s="69"/>
      <c r="P388" s="69"/>
    </row>
    <row r="389" ht="14.25" customHeight="1">
      <c r="J389" s="69"/>
      <c r="N389" s="69"/>
      <c r="O389" s="69"/>
      <c r="P389" s="69"/>
    </row>
    <row r="390" ht="14.25" customHeight="1">
      <c r="J390" s="69"/>
      <c r="N390" s="69"/>
      <c r="O390" s="69"/>
      <c r="P390" s="69"/>
    </row>
    <row r="391" ht="14.25" customHeight="1">
      <c r="J391" s="69"/>
      <c r="N391" s="69"/>
      <c r="O391" s="69"/>
      <c r="P391" s="69"/>
    </row>
    <row r="392" ht="14.25" customHeight="1">
      <c r="J392" s="69"/>
      <c r="N392" s="69"/>
      <c r="O392" s="69"/>
      <c r="P392" s="69"/>
    </row>
    <row r="393" ht="14.25" customHeight="1">
      <c r="J393" s="69"/>
      <c r="N393" s="69"/>
      <c r="O393" s="69"/>
      <c r="P393" s="69"/>
    </row>
    <row r="394" ht="14.25" customHeight="1">
      <c r="J394" s="69"/>
      <c r="N394" s="69"/>
      <c r="O394" s="69"/>
      <c r="P394" s="69"/>
    </row>
    <row r="395" ht="14.25" customHeight="1">
      <c r="J395" s="69"/>
      <c r="N395" s="69"/>
      <c r="O395" s="69"/>
      <c r="P395" s="69"/>
    </row>
    <row r="396" ht="14.25" customHeight="1">
      <c r="J396" s="69"/>
      <c r="N396" s="69"/>
      <c r="O396" s="69"/>
      <c r="P396" s="69"/>
    </row>
    <row r="397" ht="14.25" customHeight="1">
      <c r="J397" s="69"/>
      <c r="N397" s="69"/>
      <c r="O397" s="69"/>
      <c r="P397" s="69"/>
    </row>
    <row r="398" ht="14.25" customHeight="1">
      <c r="J398" s="69"/>
      <c r="N398" s="69"/>
      <c r="O398" s="69"/>
      <c r="P398" s="69"/>
    </row>
    <row r="399" ht="14.25" customHeight="1">
      <c r="J399" s="69"/>
      <c r="N399" s="69"/>
      <c r="O399" s="69"/>
      <c r="P399" s="69"/>
    </row>
    <row r="400" ht="14.25" customHeight="1">
      <c r="J400" s="69"/>
      <c r="N400" s="69"/>
      <c r="O400" s="69"/>
      <c r="P400" s="69"/>
    </row>
    <row r="401" ht="14.25" customHeight="1">
      <c r="J401" s="69"/>
      <c r="N401" s="69"/>
      <c r="O401" s="69"/>
      <c r="P401" s="69"/>
    </row>
    <row r="402" ht="14.25" customHeight="1">
      <c r="J402" s="69"/>
      <c r="N402" s="69"/>
      <c r="O402" s="69"/>
      <c r="P402" s="69"/>
    </row>
    <row r="403" ht="14.25" customHeight="1">
      <c r="J403" s="69"/>
      <c r="N403" s="69"/>
      <c r="O403" s="69"/>
      <c r="P403" s="69"/>
    </row>
    <row r="404" ht="14.25" customHeight="1">
      <c r="J404" s="69"/>
      <c r="N404" s="69"/>
      <c r="O404" s="69"/>
      <c r="P404" s="69"/>
    </row>
    <row r="405" ht="14.25" customHeight="1">
      <c r="J405" s="69"/>
      <c r="N405" s="69"/>
      <c r="O405" s="69"/>
      <c r="P405" s="69"/>
    </row>
    <row r="406" ht="14.25" customHeight="1">
      <c r="J406" s="69"/>
      <c r="N406" s="69"/>
      <c r="O406" s="69"/>
      <c r="P406" s="69"/>
    </row>
    <row r="407" ht="14.25" customHeight="1">
      <c r="J407" s="69"/>
      <c r="N407" s="69"/>
      <c r="O407" s="69"/>
      <c r="P407" s="69"/>
    </row>
    <row r="408" ht="14.25" customHeight="1">
      <c r="J408" s="69"/>
      <c r="N408" s="69"/>
      <c r="O408" s="69"/>
      <c r="P408" s="69"/>
    </row>
    <row r="409" ht="14.25" customHeight="1">
      <c r="J409" s="69"/>
      <c r="N409" s="69"/>
      <c r="O409" s="69"/>
      <c r="P409" s="69"/>
    </row>
    <row r="410" ht="14.25" customHeight="1">
      <c r="J410" s="69"/>
      <c r="N410" s="69"/>
      <c r="O410" s="69"/>
      <c r="P410" s="69"/>
    </row>
    <row r="411" ht="14.25" customHeight="1">
      <c r="J411" s="69"/>
      <c r="N411" s="69"/>
      <c r="O411" s="69"/>
      <c r="P411" s="69"/>
    </row>
    <row r="412" ht="14.25" customHeight="1">
      <c r="J412" s="69"/>
      <c r="N412" s="69"/>
      <c r="O412" s="69"/>
      <c r="P412" s="69"/>
    </row>
    <row r="413" ht="14.25" customHeight="1">
      <c r="J413" s="69"/>
      <c r="N413" s="69"/>
      <c r="O413" s="69"/>
      <c r="P413" s="69"/>
    </row>
    <row r="414" ht="14.25" customHeight="1">
      <c r="J414" s="69"/>
      <c r="N414" s="69"/>
      <c r="O414" s="69"/>
      <c r="P414" s="69"/>
    </row>
    <row r="415" ht="14.25" customHeight="1">
      <c r="J415" s="69"/>
      <c r="N415" s="69"/>
      <c r="O415" s="69"/>
      <c r="P415" s="69"/>
    </row>
    <row r="416" ht="14.25" customHeight="1">
      <c r="J416" s="69"/>
      <c r="N416" s="69"/>
      <c r="O416" s="69"/>
      <c r="P416" s="69"/>
    </row>
    <row r="417" ht="14.25" customHeight="1">
      <c r="J417" s="69"/>
      <c r="N417" s="69"/>
      <c r="O417" s="69"/>
      <c r="P417" s="69"/>
    </row>
    <row r="418" ht="14.25" customHeight="1">
      <c r="J418" s="69"/>
      <c r="N418" s="69"/>
      <c r="O418" s="69"/>
      <c r="P418" s="69"/>
    </row>
    <row r="419" ht="14.25" customHeight="1">
      <c r="J419" s="69"/>
      <c r="N419" s="69"/>
      <c r="O419" s="69"/>
      <c r="P419" s="69"/>
    </row>
    <row r="420" ht="14.25" customHeight="1">
      <c r="J420" s="69"/>
      <c r="N420" s="69"/>
      <c r="O420" s="69"/>
      <c r="P420" s="69"/>
    </row>
    <row r="421" ht="14.25" customHeight="1">
      <c r="J421" s="69"/>
      <c r="N421" s="69"/>
      <c r="O421" s="69"/>
      <c r="P421" s="69"/>
    </row>
    <row r="422" ht="14.25" customHeight="1">
      <c r="J422" s="69"/>
      <c r="N422" s="69"/>
      <c r="O422" s="69"/>
      <c r="P422" s="69"/>
    </row>
    <row r="423" ht="14.25" customHeight="1">
      <c r="J423" s="69"/>
      <c r="N423" s="69"/>
      <c r="O423" s="69"/>
      <c r="P423" s="69"/>
    </row>
    <row r="424" ht="14.25" customHeight="1">
      <c r="J424" s="69"/>
      <c r="N424" s="69"/>
      <c r="O424" s="69"/>
      <c r="P424" s="69"/>
    </row>
    <row r="425" ht="14.25" customHeight="1">
      <c r="J425" s="69"/>
      <c r="N425" s="69"/>
      <c r="O425" s="69"/>
      <c r="P425" s="69"/>
    </row>
    <row r="426" ht="14.25" customHeight="1">
      <c r="J426" s="69"/>
      <c r="N426" s="69"/>
      <c r="O426" s="69"/>
      <c r="P426" s="69"/>
    </row>
    <row r="427" ht="14.25" customHeight="1">
      <c r="J427" s="69"/>
      <c r="N427" s="69"/>
      <c r="O427" s="69"/>
      <c r="P427" s="69"/>
    </row>
    <row r="428" ht="14.25" customHeight="1">
      <c r="J428" s="69"/>
      <c r="N428" s="69"/>
      <c r="O428" s="69"/>
      <c r="P428" s="69"/>
    </row>
    <row r="429" ht="14.25" customHeight="1">
      <c r="J429" s="69"/>
      <c r="N429" s="69"/>
      <c r="O429" s="69"/>
      <c r="P429" s="69"/>
    </row>
    <row r="430" ht="14.25" customHeight="1">
      <c r="J430" s="69"/>
      <c r="N430" s="69"/>
      <c r="O430" s="69"/>
      <c r="P430" s="69"/>
    </row>
    <row r="431" ht="14.25" customHeight="1">
      <c r="J431" s="69"/>
      <c r="N431" s="69"/>
      <c r="O431" s="69"/>
      <c r="P431" s="69"/>
    </row>
    <row r="432" ht="14.25" customHeight="1">
      <c r="J432" s="69"/>
      <c r="N432" s="69"/>
      <c r="O432" s="69"/>
      <c r="P432" s="69"/>
    </row>
    <row r="433" ht="14.25" customHeight="1">
      <c r="J433" s="69"/>
      <c r="N433" s="69"/>
      <c r="O433" s="69"/>
      <c r="P433" s="69"/>
    </row>
    <row r="434" ht="14.25" customHeight="1">
      <c r="J434" s="69"/>
      <c r="N434" s="69"/>
      <c r="O434" s="69"/>
      <c r="P434" s="69"/>
    </row>
    <row r="435" ht="14.25" customHeight="1">
      <c r="J435" s="69"/>
      <c r="N435" s="69"/>
      <c r="O435" s="69"/>
      <c r="P435" s="69"/>
    </row>
    <row r="436" ht="14.25" customHeight="1">
      <c r="J436" s="69"/>
      <c r="N436" s="69"/>
      <c r="O436" s="69"/>
      <c r="P436" s="69"/>
    </row>
    <row r="437" ht="14.25" customHeight="1">
      <c r="J437" s="69"/>
      <c r="N437" s="69"/>
      <c r="O437" s="69"/>
      <c r="P437" s="69"/>
    </row>
    <row r="438" ht="14.25" customHeight="1">
      <c r="J438" s="69"/>
      <c r="N438" s="69"/>
      <c r="O438" s="69"/>
      <c r="P438" s="69"/>
    </row>
    <row r="439" ht="14.25" customHeight="1">
      <c r="J439" s="69"/>
      <c r="N439" s="69"/>
      <c r="O439" s="69"/>
      <c r="P439" s="69"/>
    </row>
    <row r="440" ht="14.25" customHeight="1">
      <c r="J440" s="69"/>
      <c r="N440" s="69"/>
      <c r="O440" s="69"/>
      <c r="P440" s="69"/>
    </row>
    <row r="441" ht="14.25" customHeight="1">
      <c r="J441" s="69"/>
      <c r="N441" s="69"/>
      <c r="O441" s="69"/>
      <c r="P441" s="69"/>
    </row>
    <row r="442" ht="14.25" customHeight="1">
      <c r="J442" s="69"/>
      <c r="N442" s="69"/>
      <c r="O442" s="69"/>
      <c r="P442" s="69"/>
    </row>
    <row r="443" ht="14.25" customHeight="1">
      <c r="J443" s="69"/>
      <c r="N443" s="69"/>
      <c r="O443" s="69"/>
      <c r="P443" s="69"/>
    </row>
    <row r="444" ht="14.25" customHeight="1">
      <c r="J444" s="69"/>
      <c r="N444" s="69"/>
      <c r="O444" s="69"/>
      <c r="P444" s="69"/>
    </row>
    <row r="445" ht="14.25" customHeight="1">
      <c r="J445" s="69"/>
      <c r="N445" s="69"/>
      <c r="O445" s="69"/>
      <c r="P445" s="69"/>
    </row>
    <row r="446" ht="14.25" customHeight="1">
      <c r="J446" s="69"/>
      <c r="N446" s="69"/>
      <c r="O446" s="69"/>
      <c r="P446" s="69"/>
    </row>
    <row r="447" ht="14.25" customHeight="1">
      <c r="J447" s="69"/>
      <c r="N447" s="69"/>
      <c r="O447" s="69"/>
      <c r="P447" s="69"/>
    </row>
    <row r="448" ht="14.25" customHeight="1">
      <c r="J448" s="69"/>
      <c r="N448" s="69"/>
      <c r="O448" s="69"/>
      <c r="P448" s="69"/>
    </row>
    <row r="449" ht="14.25" customHeight="1">
      <c r="J449" s="69"/>
      <c r="N449" s="69"/>
      <c r="O449" s="69"/>
      <c r="P449" s="69"/>
    </row>
    <row r="450" ht="14.25" customHeight="1">
      <c r="J450" s="69"/>
      <c r="N450" s="69"/>
      <c r="O450" s="69"/>
      <c r="P450" s="69"/>
    </row>
    <row r="451" ht="14.25" customHeight="1">
      <c r="J451" s="69"/>
      <c r="N451" s="69"/>
      <c r="O451" s="69"/>
      <c r="P451" s="69"/>
    </row>
    <row r="452" ht="14.25" customHeight="1">
      <c r="J452" s="69"/>
      <c r="N452" s="69"/>
      <c r="O452" s="69"/>
      <c r="P452" s="69"/>
    </row>
    <row r="453" ht="14.25" customHeight="1">
      <c r="J453" s="69"/>
      <c r="N453" s="69"/>
      <c r="O453" s="69"/>
      <c r="P453" s="69"/>
    </row>
    <row r="454" ht="14.25" customHeight="1">
      <c r="J454" s="69"/>
      <c r="N454" s="69"/>
      <c r="O454" s="69"/>
      <c r="P454" s="69"/>
    </row>
    <row r="455" ht="14.25" customHeight="1">
      <c r="J455" s="69"/>
      <c r="N455" s="69"/>
      <c r="O455" s="69"/>
      <c r="P455" s="69"/>
    </row>
    <row r="456" ht="14.25" customHeight="1">
      <c r="J456" s="69"/>
      <c r="N456" s="69"/>
      <c r="O456" s="69"/>
      <c r="P456" s="69"/>
    </row>
    <row r="457" ht="14.25" customHeight="1">
      <c r="J457" s="69"/>
      <c r="N457" s="69"/>
      <c r="O457" s="69"/>
      <c r="P457" s="69"/>
    </row>
    <row r="458" ht="14.25" customHeight="1">
      <c r="J458" s="69"/>
      <c r="N458" s="69"/>
      <c r="O458" s="69"/>
      <c r="P458" s="69"/>
    </row>
    <row r="459" ht="14.25" customHeight="1">
      <c r="J459" s="69"/>
      <c r="N459" s="69"/>
      <c r="O459" s="69"/>
      <c r="P459" s="69"/>
    </row>
    <row r="460" ht="14.25" customHeight="1">
      <c r="J460" s="69"/>
      <c r="N460" s="69"/>
      <c r="O460" s="69"/>
      <c r="P460" s="69"/>
    </row>
    <row r="461" ht="14.25" customHeight="1">
      <c r="J461" s="69"/>
      <c r="N461" s="69"/>
      <c r="O461" s="69"/>
      <c r="P461" s="69"/>
    </row>
    <row r="462" ht="14.25" customHeight="1">
      <c r="J462" s="69"/>
      <c r="N462" s="69"/>
      <c r="O462" s="69"/>
      <c r="P462" s="69"/>
    </row>
    <row r="463" ht="14.25" customHeight="1">
      <c r="J463" s="69"/>
      <c r="N463" s="69"/>
      <c r="O463" s="69"/>
      <c r="P463" s="69"/>
    </row>
    <row r="464" ht="14.25" customHeight="1">
      <c r="J464" s="69"/>
      <c r="N464" s="69"/>
      <c r="O464" s="69"/>
      <c r="P464" s="69"/>
    </row>
    <row r="465" ht="14.25" customHeight="1">
      <c r="J465" s="69"/>
      <c r="N465" s="69"/>
      <c r="O465" s="69"/>
      <c r="P465" s="69"/>
    </row>
    <row r="466" ht="14.25" customHeight="1">
      <c r="J466" s="69"/>
      <c r="N466" s="69"/>
      <c r="O466" s="69"/>
      <c r="P466" s="69"/>
    </row>
    <row r="467" ht="14.25" customHeight="1">
      <c r="J467" s="69"/>
      <c r="N467" s="69"/>
      <c r="O467" s="69"/>
      <c r="P467" s="69"/>
    </row>
    <row r="468" ht="14.25" customHeight="1">
      <c r="J468" s="69"/>
      <c r="N468" s="69"/>
      <c r="O468" s="69"/>
      <c r="P468" s="69"/>
    </row>
    <row r="469" ht="14.25" customHeight="1">
      <c r="J469" s="69"/>
      <c r="N469" s="69"/>
      <c r="O469" s="69"/>
      <c r="P469" s="69"/>
    </row>
    <row r="470" ht="14.25" customHeight="1">
      <c r="J470" s="69"/>
      <c r="N470" s="69"/>
      <c r="O470" s="69"/>
      <c r="P470" s="69"/>
    </row>
    <row r="471" ht="14.25" customHeight="1">
      <c r="J471" s="69"/>
      <c r="N471" s="69"/>
      <c r="O471" s="69"/>
      <c r="P471" s="69"/>
    </row>
    <row r="472" ht="14.25" customHeight="1">
      <c r="J472" s="69"/>
      <c r="N472" s="69"/>
      <c r="O472" s="69"/>
      <c r="P472" s="69"/>
    </row>
    <row r="473" ht="14.25" customHeight="1">
      <c r="J473" s="69"/>
      <c r="N473" s="69"/>
      <c r="O473" s="69"/>
      <c r="P473" s="69"/>
    </row>
    <row r="474" ht="14.25" customHeight="1">
      <c r="J474" s="69"/>
      <c r="N474" s="69"/>
      <c r="O474" s="69"/>
      <c r="P474" s="69"/>
    </row>
    <row r="475" ht="14.25" customHeight="1">
      <c r="J475" s="69"/>
      <c r="N475" s="69"/>
      <c r="O475" s="69"/>
      <c r="P475" s="69"/>
    </row>
    <row r="476" ht="14.25" customHeight="1">
      <c r="J476" s="69"/>
      <c r="N476" s="69"/>
      <c r="O476" s="69"/>
      <c r="P476" s="69"/>
    </row>
    <row r="477" ht="14.25" customHeight="1">
      <c r="J477" s="69"/>
      <c r="N477" s="69"/>
      <c r="O477" s="69"/>
      <c r="P477" s="69"/>
    </row>
    <row r="478" ht="14.25" customHeight="1">
      <c r="J478" s="69"/>
      <c r="N478" s="69"/>
      <c r="O478" s="69"/>
      <c r="P478" s="69"/>
    </row>
    <row r="479" ht="14.25" customHeight="1">
      <c r="J479" s="69"/>
      <c r="N479" s="69"/>
      <c r="O479" s="69"/>
      <c r="P479" s="69"/>
    </row>
    <row r="480" ht="14.25" customHeight="1">
      <c r="J480" s="69"/>
      <c r="N480" s="69"/>
      <c r="O480" s="69"/>
      <c r="P480" s="69"/>
    </row>
    <row r="481" ht="14.25" customHeight="1">
      <c r="J481" s="69"/>
      <c r="N481" s="69"/>
      <c r="O481" s="69"/>
      <c r="P481" s="69"/>
    </row>
    <row r="482" ht="14.25" customHeight="1">
      <c r="J482" s="69"/>
      <c r="N482" s="69"/>
      <c r="O482" s="69"/>
      <c r="P482" s="69"/>
    </row>
    <row r="483" ht="14.25" customHeight="1">
      <c r="J483" s="69"/>
      <c r="N483" s="69"/>
      <c r="O483" s="69"/>
      <c r="P483" s="69"/>
    </row>
    <row r="484" ht="14.25" customHeight="1">
      <c r="J484" s="69"/>
      <c r="N484" s="69"/>
      <c r="O484" s="69"/>
      <c r="P484" s="69"/>
    </row>
    <row r="485" ht="14.25" customHeight="1">
      <c r="J485" s="69"/>
      <c r="N485" s="69"/>
      <c r="O485" s="69"/>
      <c r="P485" s="69"/>
    </row>
    <row r="486" ht="14.25" customHeight="1">
      <c r="J486" s="69"/>
      <c r="N486" s="69"/>
      <c r="O486" s="69"/>
      <c r="P486" s="69"/>
    </row>
    <row r="487" ht="14.25" customHeight="1">
      <c r="J487" s="69"/>
      <c r="N487" s="69"/>
      <c r="O487" s="69"/>
      <c r="P487" s="69"/>
    </row>
    <row r="488" ht="14.25" customHeight="1">
      <c r="J488" s="69"/>
      <c r="N488" s="69"/>
      <c r="O488" s="69"/>
      <c r="P488" s="69"/>
    </row>
    <row r="489" ht="14.25" customHeight="1">
      <c r="J489" s="69"/>
      <c r="N489" s="69"/>
      <c r="O489" s="69"/>
      <c r="P489" s="69"/>
    </row>
    <row r="490" ht="14.25" customHeight="1">
      <c r="J490" s="69"/>
      <c r="N490" s="69"/>
      <c r="O490" s="69"/>
      <c r="P490" s="69"/>
    </row>
    <row r="491" ht="14.25" customHeight="1">
      <c r="J491" s="69"/>
      <c r="N491" s="69"/>
      <c r="O491" s="69"/>
      <c r="P491" s="69"/>
    </row>
    <row r="492" ht="14.25" customHeight="1">
      <c r="J492" s="69"/>
      <c r="N492" s="69"/>
      <c r="O492" s="69"/>
      <c r="P492" s="69"/>
    </row>
    <row r="493" ht="14.25" customHeight="1">
      <c r="J493" s="69"/>
      <c r="N493" s="69"/>
      <c r="O493" s="69"/>
      <c r="P493" s="69"/>
    </row>
    <row r="494" ht="14.25" customHeight="1">
      <c r="J494" s="69"/>
      <c r="N494" s="69"/>
      <c r="O494" s="69"/>
      <c r="P494" s="69"/>
    </row>
    <row r="495" ht="14.25" customHeight="1">
      <c r="J495" s="69"/>
      <c r="N495" s="69"/>
      <c r="O495" s="69"/>
      <c r="P495" s="69"/>
    </row>
    <row r="496" ht="14.25" customHeight="1">
      <c r="J496" s="69"/>
      <c r="N496" s="69"/>
      <c r="O496" s="69"/>
      <c r="P496" s="69"/>
    </row>
    <row r="497" ht="14.25" customHeight="1">
      <c r="J497" s="69"/>
      <c r="N497" s="69"/>
      <c r="O497" s="69"/>
      <c r="P497" s="69"/>
    </row>
    <row r="498" ht="14.25" customHeight="1">
      <c r="J498" s="69"/>
      <c r="N498" s="69"/>
      <c r="O498" s="69"/>
      <c r="P498" s="69"/>
    </row>
    <row r="499" ht="14.25" customHeight="1">
      <c r="J499" s="69"/>
      <c r="N499" s="69"/>
      <c r="O499" s="69"/>
      <c r="P499" s="69"/>
    </row>
    <row r="500" ht="14.25" customHeight="1">
      <c r="J500" s="69"/>
      <c r="N500" s="69"/>
      <c r="O500" s="69"/>
      <c r="P500" s="69"/>
    </row>
    <row r="501" ht="14.25" customHeight="1">
      <c r="J501" s="69"/>
      <c r="N501" s="69"/>
      <c r="O501" s="69"/>
      <c r="P501" s="69"/>
    </row>
    <row r="502" ht="14.25" customHeight="1">
      <c r="J502" s="69"/>
      <c r="N502" s="69"/>
      <c r="O502" s="69"/>
      <c r="P502" s="69"/>
    </row>
    <row r="503" ht="14.25" customHeight="1">
      <c r="J503" s="69"/>
      <c r="N503" s="69"/>
      <c r="O503" s="69"/>
      <c r="P503" s="69"/>
    </row>
    <row r="504" ht="14.25" customHeight="1">
      <c r="J504" s="69"/>
      <c r="N504" s="69"/>
      <c r="O504" s="69"/>
      <c r="P504" s="69"/>
    </row>
    <row r="505" ht="14.25" customHeight="1">
      <c r="J505" s="69"/>
      <c r="N505" s="69"/>
      <c r="O505" s="69"/>
      <c r="P505" s="69"/>
    </row>
    <row r="506" ht="14.25" customHeight="1">
      <c r="J506" s="69"/>
      <c r="N506" s="69"/>
      <c r="O506" s="69"/>
      <c r="P506" s="69"/>
    </row>
    <row r="507" ht="14.25" customHeight="1">
      <c r="J507" s="69"/>
      <c r="N507" s="69"/>
      <c r="O507" s="69"/>
      <c r="P507" s="69"/>
    </row>
    <row r="508" ht="14.25" customHeight="1">
      <c r="J508" s="69"/>
      <c r="N508" s="69"/>
      <c r="O508" s="69"/>
      <c r="P508" s="69"/>
    </row>
    <row r="509" ht="14.25" customHeight="1">
      <c r="J509" s="69"/>
      <c r="N509" s="69"/>
      <c r="O509" s="69"/>
      <c r="P509" s="69"/>
    </row>
    <row r="510" ht="14.25" customHeight="1">
      <c r="J510" s="69"/>
      <c r="N510" s="69"/>
      <c r="O510" s="69"/>
      <c r="P510" s="69"/>
    </row>
    <row r="511" ht="14.25" customHeight="1">
      <c r="J511" s="69"/>
      <c r="N511" s="69"/>
      <c r="O511" s="69"/>
      <c r="P511" s="69"/>
    </row>
    <row r="512" ht="14.25" customHeight="1">
      <c r="J512" s="69"/>
      <c r="N512" s="69"/>
      <c r="O512" s="69"/>
      <c r="P512" s="69"/>
    </row>
    <row r="513" ht="14.25" customHeight="1">
      <c r="J513" s="69"/>
      <c r="N513" s="69"/>
      <c r="O513" s="69"/>
      <c r="P513" s="69"/>
    </row>
    <row r="514" ht="14.25" customHeight="1">
      <c r="J514" s="69"/>
      <c r="N514" s="69"/>
      <c r="O514" s="69"/>
      <c r="P514" s="69"/>
    </row>
    <row r="515" ht="14.25" customHeight="1">
      <c r="J515" s="69"/>
      <c r="N515" s="69"/>
      <c r="O515" s="69"/>
      <c r="P515" s="69"/>
    </row>
    <row r="516" ht="14.25" customHeight="1">
      <c r="J516" s="69"/>
      <c r="N516" s="69"/>
      <c r="O516" s="69"/>
      <c r="P516" s="69"/>
    </row>
    <row r="517" ht="14.25" customHeight="1">
      <c r="J517" s="69"/>
      <c r="N517" s="69"/>
      <c r="O517" s="69"/>
      <c r="P517" s="69"/>
    </row>
    <row r="518" ht="14.25" customHeight="1">
      <c r="J518" s="69"/>
      <c r="N518" s="69"/>
      <c r="O518" s="69"/>
      <c r="P518" s="69"/>
    </row>
    <row r="519" ht="14.25" customHeight="1">
      <c r="J519" s="69"/>
      <c r="N519" s="69"/>
      <c r="O519" s="69"/>
      <c r="P519" s="69"/>
    </row>
    <row r="520" ht="14.25" customHeight="1">
      <c r="J520" s="69"/>
      <c r="N520" s="69"/>
      <c r="O520" s="69"/>
      <c r="P520" s="69"/>
    </row>
    <row r="521" ht="14.25" customHeight="1">
      <c r="J521" s="69"/>
      <c r="N521" s="69"/>
      <c r="O521" s="69"/>
      <c r="P521" s="69"/>
    </row>
    <row r="522" ht="14.25" customHeight="1">
      <c r="J522" s="69"/>
      <c r="N522" s="69"/>
      <c r="O522" s="69"/>
      <c r="P522" s="69"/>
    </row>
    <row r="523" ht="14.25" customHeight="1">
      <c r="J523" s="69"/>
      <c r="N523" s="69"/>
      <c r="O523" s="69"/>
      <c r="P523" s="69"/>
    </row>
    <row r="524" ht="14.25" customHeight="1">
      <c r="J524" s="69"/>
      <c r="N524" s="69"/>
      <c r="O524" s="69"/>
      <c r="P524" s="69"/>
    </row>
    <row r="525" ht="14.25" customHeight="1">
      <c r="J525" s="69"/>
      <c r="N525" s="69"/>
      <c r="O525" s="69"/>
      <c r="P525" s="69"/>
    </row>
    <row r="526" ht="14.25" customHeight="1">
      <c r="J526" s="69"/>
      <c r="N526" s="69"/>
      <c r="O526" s="69"/>
      <c r="P526" s="69"/>
    </row>
    <row r="527" ht="14.25" customHeight="1">
      <c r="J527" s="69"/>
      <c r="N527" s="69"/>
      <c r="O527" s="69"/>
      <c r="P527" s="69"/>
    </row>
    <row r="528" ht="14.25" customHeight="1">
      <c r="J528" s="69"/>
      <c r="N528" s="69"/>
      <c r="O528" s="69"/>
      <c r="P528" s="69"/>
    </row>
    <row r="529" ht="14.25" customHeight="1">
      <c r="J529" s="69"/>
      <c r="N529" s="69"/>
      <c r="O529" s="69"/>
      <c r="P529" s="69"/>
    </row>
    <row r="530" ht="14.25" customHeight="1">
      <c r="J530" s="69"/>
      <c r="N530" s="69"/>
      <c r="O530" s="69"/>
      <c r="P530" s="69"/>
    </row>
    <row r="531" ht="14.25" customHeight="1">
      <c r="J531" s="69"/>
      <c r="N531" s="69"/>
      <c r="O531" s="69"/>
      <c r="P531" s="69"/>
    </row>
    <row r="532" ht="14.25" customHeight="1">
      <c r="J532" s="69"/>
      <c r="N532" s="69"/>
      <c r="O532" s="69"/>
      <c r="P532" s="69"/>
    </row>
    <row r="533" ht="14.25" customHeight="1">
      <c r="J533" s="69"/>
      <c r="N533" s="69"/>
      <c r="O533" s="69"/>
      <c r="P533" s="69"/>
    </row>
    <row r="534" ht="14.25" customHeight="1">
      <c r="J534" s="69"/>
      <c r="N534" s="69"/>
      <c r="O534" s="69"/>
      <c r="P534" s="69"/>
    </row>
    <row r="535" ht="14.25" customHeight="1">
      <c r="J535" s="69"/>
      <c r="N535" s="69"/>
      <c r="O535" s="69"/>
      <c r="P535" s="69"/>
    </row>
    <row r="536" ht="14.25" customHeight="1">
      <c r="J536" s="69"/>
      <c r="N536" s="69"/>
      <c r="O536" s="69"/>
      <c r="P536" s="69"/>
    </row>
    <row r="537" ht="14.25" customHeight="1">
      <c r="J537" s="69"/>
      <c r="N537" s="69"/>
      <c r="O537" s="69"/>
      <c r="P537" s="69"/>
    </row>
    <row r="538" ht="14.25" customHeight="1">
      <c r="J538" s="69"/>
      <c r="N538" s="69"/>
      <c r="O538" s="69"/>
      <c r="P538" s="69"/>
    </row>
    <row r="539" ht="14.25" customHeight="1">
      <c r="J539" s="69"/>
      <c r="N539" s="69"/>
      <c r="O539" s="69"/>
      <c r="P539" s="69"/>
    </row>
    <row r="540" ht="14.25" customHeight="1">
      <c r="J540" s="69"/>
      <c r="N540" s="69"/>
      <c r="O540" s="69"/>
      <c r="P540" s="69"/>
    </row>
    <row r="541" ht="14.25" customHeight="1">
      <c r="J541" s="69"/>
      <c r="N541" s="69"/>
      <c r="O541" s="69"/>
      <c r="P541" s="69"/>
    </row>
    <row r="542" ht="14.25" customHeight="1">
      <c r="J542" s="69"/>
      <c r="N542" s="69"/>
      <c r="O542" s="69"/>
      <c r="P542" s="69"/>
    </row>
    <row r="543" ht="14.25" customHeight="1">
      <c r="J543" s="69"/>
      <c r="N543" s="69"/>
      <c r="O543" s="69"/>
      <c r="P543" s="69"/>
    </row>
    <row r="544" ht="14.25" customHeight="1">
      <c r="J544" s="69"/>
      <c r="N544" s="69"/>
      <c r="O544" s="69"/>
      <c r="P544" s="69"/>
    </row>
    <row r="545" ht="14.25" customHeight="1">
      <c r="J545" s="69"/>
      <c r="N545" s="69"/>
      <c r="O545" s="69"/>
      <c r="P545" s="69"/>
    </row>
    <row r="546" ht="14.25" customHeight="1">
      <c r="J546" s="69"/>
      <c r="N546" s="69"/>
      <c r="O546" s="69"/>
      <c r="P546" s="69"/>
    </row>
    <row r="547" ht="14.25" customHeight="1">
      <c r="J547" s="69"/>
      <c r="N547" s="69"/>
      <c r="O547" s="69"/>
      <c r="P547" s="69"/>
    </row>
    <row r="548" ht="14.25" customHeight="1">
      <c r="J548" s="69"/>
      <c r="N548" s="69"/>
      <c r="O548" s="69"/>
      <c r="P548" s="69"/>
    </row>
    <row r="549" ht="14.25" customHeight="1">
      <c r="J549" s="69"/>
      <c r="N549" s="69"/>
      <c r="O549" s="69"/>
      <c r="P549" s="69"/>
    </row>
    <row r="550" ht="14.25" customHeight="1">
      <c r="J550" s="69"/>
      <c r="N550" s="69"/>
      <c r="O550" s="69"/>
      <c r="P550" s="69"/>
    </row>
    <row r="551" ht="14.25" customHeight="1">
      <c r="J551" s="69"/>
      <c r="N551" s="69"/>
      <c r="O551" s="69"/>
      <c r="P551" s="69"/>
    </row>
    <row r="552" ht="14.25" customHeight="1">
      <c r="J552" s="69"/>
      <c r="N552" s="69"/>
      <c r="O552" s="69"/>
      <c r="P552" s="69"/>
    </row>
    <row r="553" ht="14.25" customHeight="1">
      <c r="J553" s="69"/>
      <c r="N553" s="69"/>
      <c r="O553" s="69"/>
      <c r="P553" s="69"/>
    </row>
    <row r="554" ht="14.25" customHeight="1">
      <c r="J554" s="69"/>
      <c r="N554" s="69"/>
      <c r="O554" s="69"/>
      <c r="P554" s="69"/>
    </row>
    <row r="555" ht="14.25" customHeight="1">
      <c r="J555" s="69"/>
      <c r="N555" s="69"/>
      <c r="O555" s="69"/>
      <c r="P555" s="69"/>
    </row>
    <row r="556" ht="14.25" customHeight="1">
      <c r="J556" s="69"/>
      <c r="N556" s="69"/>
      <c r="O556" s="69"/>
      <c r="P556" s="69"/>
    </row>
    <row r="557" ht="14.25" customHeight="1">
      <c r="J557" s="69"/>
      <c r="N557" s="69"/>
      <c r="O557" s="69"/>
      <c r="P557" s="69"/>
    </row>
    <row r="558" ht="14.25" customHeight="1">
      <c r="J558" s="69"/>
      <c r="N558" s="69"/>
      <c r="O558" s="69"/>
      <c r="P558" s="69"/>
    </row>
    <row r="559" ht="14.25" customHeight="1">
      <c r="J559" s="69"/>
      <c r="N559" s="69"/>
      <c r="O559" s="69"/>
      <c r="P559" s="69"/>
    </row>
    <row r="560" ht="14.25" customHeight="1">
      <c r="J560" s="69"/>
      <c r="N560" s="69"/>
      <c r="O560" s="69"/>
      <c r="P560" s="69"/>
    </row>
    <row r="561" ht="14.25" customHeight="1">
      <c r="J561" s="69"/>
      <c r="N561" s="69"/>
      <c r="O561" s="69"/>
      <c r="P561" s="69"/>
    </row>
    <row r="562" ht="14.25" customHeight="1">
      <c r="J562" s="69"/>
      <c r="N562" s="69"/>
      <c r="O562" s="69"/>
      <c r="P562" s="69"/>
    </row>
    <row r="563" ht="14.25" customHeight="1">
      <c r="J563" s="69"/>
      <c r="N563" s="69"/>
      <c r="O563" s="69"/>
      <c r="P563" s="69"/>
    </row>
    <row r="564" ht="14.25" customHeight="1">
      <c r="J564" s="69"/>
      <c r="N564" s="69"/>
      <c r="O564" s="69"/>
      <c r="P564" s="69"/>
    </row>
    <row r="565" ht="14.25" customHeight="1">
      <c r="J565" s="69"/>
      <c r="N565" s="69"/>
      <c r="O565" s="69"/>
      <c r="P565" s="69"/>
    </row>
    <row r="566" ht="14.25" customHeight="1">
      <c r="J566" s="69"/>
      <c r="N566" s="69"/>
      <c r="O566" s="69"/>
      <c r="P566" s="69"/>
    </row>
    <row r="567" ht="14.25" customHeight="1">
      <c r="J567" s="69"/>
      <c r="N567" s="69"/>
      <c r="O567" s="69"/>
      <c r="P567" s="69"/>
    </row>
    <row r="568" ht="14.25" customHeight="1">
      <c r="J568" s="69"/>
      <c r="N568" s="69"/>
      <c r="O568" s="69"/>
      <c r="P568" s="69"/>
    </row>
    <row r="569" ht="14.25" customHeight="1">
      <c r="J569" s="69"/>
      <c r="N569" s="69"/>
      <c r="O569" s="69"/>
      <c r="P569" s="69"/>
    </row>
    <row r="570" ht="14.25" customHeight="1">
      <c r="J570" s="69"/>
      <c r="N570" s="69"/>
      <c r="O570" s="69"/>
      <c r="P570" s="69"/>
    </row>
    <row r="571" ht="14.25" customHeight="1">
      <c r="J571" s="69"/>
      <c r="N571" s="69"/>
      <c r="O571" s="69"/>
      <c r="P571" s="69"/>
    </row>
    <row r="572" ht="14.25" customHeight="1">
      <c r="J572" s="69"/>
      <c r="N572" s="69"/>
      <c r="O572" s="69"/>
      <c r="P572" s="69"/>
    </row>
    <row r="573" ht="14.25" customHeight="1">
      <c r="J573" s="69"/>
      <c r="N573" s="69"/>
      <c r="O573" s="69"/>
      <c r="P573" s="69"/>
    </row>
    <row r="574" ht="14.25" customHeight="1">
      <c r="J574" s="69"/>
      <c r="N574" s="69"/>
      <c r="O574" s="69"/>
      <c r="P574" s="69"/>
    </row>
    <row r="575" ht="14.25" customHeight="1">
      <c r="J575" s="69"/>
      <c r="N575" s="69"/>
      <c r="O575" s="69"/>
      <c r="P575" s="69"/>
    </row>
    <row r="576" ht="14.25" customHeight="1">
      <c r="J576" s="69"/>
      <c r="N576" s="69"/>
      <c r="O576" s="69"/>
      <c r="P576" s="69"/>
    </row>
    <row r="577" ht="14.25" customHeight="1">
      <c r="J577" s="69"/>
      <c r="N577" s="69"/>
      <c r="O577" s="69"/>
      <c r="P577" s="69"/>
    </row>
    <row r="578" ht="14.25" customHeight="1">
      <c r="J578" s="69"/>
      <c r="N578" s="69"/>
      <c r="O578" s="69"/>
      <c r="P578" s="69"/>
    </row>
    <row r="579" ht="14.25" customHeight="1">
      <c r="J579" s="69"/>
      <c r="N579" s="69"/>
      <c r="O579" s="69"/>
      <c r="P579" s="69"/>
    </row>
    <row r="580" ht="14.25" customHeight="1">
      <c r="J580" s="69"/>
      <c r="N580" s="69"/>
      <c r="O580" s="69"/>
      <c r="P580" s="69"/>
    </row>
    <row r="581" ht="14.25" customHeight="1">
      <c r="J581" s="69"/>
      <c r="N581" s="69"/>
      <c r="O581" s="69"/>
      <c r="P581" s="69"/>
    </row>
    <row r="582" ht="14.25" customHeight="1">
      <c r="J582" s="69"/>
      <c r="N582" s="69"/>
      <c r="O582" s="69"/>
      <c r="P582" s="69"/>
    </row>
    <row r="583" ht="14.25" customHeight="1">
      <c r="J583" s="69"/>
      <c r="N583" s="69"/>
      <c r="O583" s="69"/>
      <c r="P583" s="69"/>
    </row>
    <row r="584" ht="14.25" customHeight="1">
      <c r="J584" s="69"/>
      <c r="N584" s="69"/>
      <c r="O584" s="69"/>
      <c r="P584" s="69"/>
    </row>
    <row r="585" ht="14.25" customHeight="1">
      <c r="J585" s="69"/>
      <c r="N585" s="69"/>
      <c r="O585" s="69"/>
      <c r="P585" s="69"/>
    </row>
    <row r="586" ht="14.25" customHeight="1">
      <c r="J586" s="69"/>
      <c r="N586" s="69"/>
      <c r="O586" s="69"/>
      <c r="P586" s="69"/>
    </row>
    <row r="587" ht="14.25" customHeight="1">
      <c r="J587" s="69"/>
      <c r="N587" s="69"/>
      <c r="O587" s="69"/>
      <c r="P587" s="69"/>
    </row>
    <row r="588" ht="14.25" customHeight="1">
      <c r="J588" s="69"/>
      <c r="N588" s="69"/>
      <c r="O588" s="69"/>
      <c r="P588" s="69"/>
    </row>
    <row r="589" ht="14.25" customHeight="1">
      <c r="J589" s="69"/>
      <c r="N589" s="69"/>
      <c r="O589" s="69"/>
      <c r="P589" s="69"/>
    </row>
    <row r="590" ht="14.25" customHeight="1">
      <c r="J590" s="69"/>
      <c r="N590" s="69"/>
      <c r="O590" s="69"/>
      <c r="P590" s="69"/>
    </row>
    <row r="591" ht="14.25" customHeight="1">
      <c r="J591" s="69"/>
      <c r="N591" s="69"/>
      <c r="O591" s="69"/>
      <c r="P591" s="69"/>
    </row>
    <row r="592" ht="14.25" customHeight="1">
      <c r="J592" s="69"/>
      <c r="N592" s="69"/>
      <c r="O592" s="69"/>
      <c r="P592" s="69"/>
    </row>
    <row r="593" ht="14.25" customHeight="1">
      <c r="J593" s="69"/>
      <c r="N593" s="69"/>
      <c r="O593" s="69"/>
      <c r="P593" s="69"/>
    </row>
    <row r="594" ht="14.25" customHeight="1">
      <c r="J594" s="69"/>
      <c r="N594" s="69"/>
      <c r="O594" s="69"/>
      <c r="P594" s="69"/>
    </row>
    <row r="595" ht="14.25" customHeight="1">
      <c r="J595" s="69"/>
      <c r="N595" s="69"/>
      <c r="O595" s="69"/>
      <c r="P595" s="69"/>
    </row>
    <row r="596" ht="14.25" customHeight="1">
      <c r="J596" s="69"/>
      <c r="N596" s="69"/>
      <c r="O596" s="69"/>
      <c r="P596" s="69"/>
    </row>
    <row r="597" ht="14.25" customHeight="1">
      <c r="J597" s="69"/>
      <c r="N597" s="69"/>
      <c r="O597" s="69"/>
      <c r="P597" s="69"/>
    </row>
    <row r="598" ht="14.25" customHeight="1">
      <c r="J598" s="69"/>
      <c r="N598" s="69"/>
      <c r="O598" s="69"/>
      <c r="P598" s="69"/>
    </row>
    <row r="599" ht="14.25" customHeight="1">
      <c r="J599" s="69"/>
      <c r="N599" s="69"/>
      <c r="O599" s="69"/>
      <c r="P599" s="69"/>
    </row>
    <row r="600" ht="14.25" customHeight="1">
      <c r="J600" s="69"/>
      <c r="N600" s="69"/>
      <c r="O600" s="69"/>
      <c r="P600" s="69"/>
    </row>
    <row r="601" ht="14.25" customHeight="1">
      <c r="J601" s="69"/>
      <c r="N601" s="69"/>
      <c r="O601" s="69"/>
      <c r="P601" s="69"/>
    </row>
    <row r="602" ht="14.25" customHeight="1">
      <c r="J602" s="69"/>
      <c r="N602" s="69"/>
      <c r="O602" s="69"/>
      <c r="P602" s="69"/>
    </row>
    <row r="603" ht="14.25" customHeight="1">
      <c r="J603" s="69"/>
      <c r="N603" s="69"/>
      <c r="O603" s="69"/>
      <c r="P603" s="69"/>
    </row>
    <row r="604" ht="14.25" customHeight="1">
      <c r="J604" s="69"/>
      <c r="N604" s="69"/>
      <c r="O604" s="69"/>
      <c r="P604" s="69"/>
    </row>
    <row r="605" ht="14.25" customHeight="1">
      <c r="J605" s="69"/>
      <c r="N605" s="69"/>
      <c r="O605" s="69"/>
      <c r="P605" s="69"/>
    </row>
    <row r="606" ht="14.25" customHeight="1">
      <c r="J606" s="69"/>
      <c r="N606" s="69"/>
      <c r="O606" s="69"/>
      <c r="P606" s="69"/>
    </row>
    <row r="607" ht="14.25" customHeight="1">
      <c r="J607" s="69"/>
      <c r="N607" s="69"/>
      <c r="O607" s="69"/>
      <c r="P607" s="69"/>
    </row>
    <row r="608" ht="14.25" customHeight="1">
      <c r="J608" s="69"/>
      <c r="N608" s="69"/>
      <c r="O608" s="69"/>
      <c r="P608" s="69"/>
    </row>
    <row r="609" ht="14.25" customHeight="1">
      <c r="J609" s="69"/>
      <c r="N609" s="69"/>
      <c r="O609" s="69"/>
      <c r="P609" s="69"/>
    </row>
    <row r="610" ht="14.25" customHeight="1">
      <c r="J610" s="69"/>
      <c r="N610" s="69"/>
      <c r="O610" s="69"/>
      <c r="P610" s="69"/>
    </row>
    <row r="611" ht="14.25" customHeight="1">
      <c r="J611" s="69"/>
      <c r="N611" s="69"/>
      <c r="O611" s="69"/>
      <c r="P611" s="69"/>
    </row>
    <row r="612" ht="14.25" customHeight="1">
      <c r="J612" s="69"/>
      <c r="N612" s="69"/>
      <c r="O612" s="69"/>
      <c r="P612" s="69"/>
    </row>
    <row r="613" ht="14.25" customHeight="1">
      <c r="J613" s="69"/>
      <c r="N613" s="69"/>
      <c r="O613" s="69"/>
      <c r="P613" s="69"/>
    </row>
    <row r="614" ht="14.25" customHeight="1">
      <c r="J614" s="69"/>
      <c r="N614" s="69"/>
      <c r="O614" s="69"/>
      <c r="P614" s="69"/>
    </row>
    <row r="615" ht="14.25" customHeight="1">
      <c r="J615" s="69"/>
      <c r="N615" s="69"/>
      <c r="O615" s="69"/>
      <c r="P615" s="69"/>
    </row>
    <row r="616" ht="14.25" customHeight="1">
      <c r="J616" s="69"/>
      <c r="N616" s="69"/>
      <c r="O616" s="69"/>
      <c r="P616" s="69"/>
    </row>
    <row r="617" ht="14.25" customHeight="1">
      <c r="J617" s="69"/>
      <c r="N617" s="69"/>
      <c r="O617" s="69"/>
      <c r="P617" s="69"/>
    </row>
    <row r="618" ht="14.25" customHeight="1">
      <c r="J618" s="69"/>
      <c r="N618" s="69"/>
      <c r="O618" s="69"/>
      <c r="P618" s="69"/>
    </row>
    <row r="619" ht="14.25" customHeight="1">
      <c r="J619" s="69"/>
      <c r="N619" s="69"/>
      <c r="O619" s="69"/>
      <c r="P619" s="69"/>
    </row>
    <row r="620" ht="14.25" customHeight="1">
      <c r="J620" s="69"/>
      <c r="N620" s="69"/>
      <c r="O620" s="69"/>
      <c r="P620" s="69"/>
    </row>
    <row r="621" ht="14.25" customHeight="1">
      <c r="J621" s="69"/>
      <c r="N621" s="69"/>
      <c r="O621" s="69"/>
      <c r="P621" s="69"/>
    </row>
    <row r="622" ht="14.25" customHeight="1">
      <c r="J622" s="69"/>
      <c r="N622" s="69"/>
      <c r="O622" s="69"/>
      <c r="P622" s="69"/>
    </row>
    <row r="623" ht="14.25" customHeight="1">
      <c r="J623" s="69"/>
      <c r="N623" s="69"/>
      <c r="O623" s="69"/>
      <c r="P623" s="69"/>
    </row>
    <row r="624" ht="14.25" customHeight="1">
      <c r="J624" s="69"/>
      <c r="N624" s="69"/>
      <c r="O624" s="69"/>
      <c r="P624" s="69"/>
    </row>
    <row r="625" ht="14.25" customHeight="1">
      <c r="J625" s="69"/>
      <c r="N625" s="69"/>
      <c r="O625" s="69"/>
      <c r="P625" s="69"/>
    </row>
    <row r="626" ht="14.25" customHeight="1">
      <c r="J626" s="69"/>
      <c r="N626" s="69"/>
      <c r="O626" s="69"/>
      <c r="P626" s="69"/>
    </row>
    <row r="627" ht="14.25" customHeight="1">
      <c r="J627" s="69"/>
      <c r="N627" s="69"/>
      <c r="O627" s="69"/>
      <c r="P627" s="69"/>
    </row>
    <row r="628" ht="14.25" customHeight="1">
      <c r="J628" s="69"/>
      <c r="N628" s="69"/>
      <c r="O628" s="69"/>
      <c r="P628" s="69"/>
    </row>
    <row r="629" ht="14.25" customHeight="1">
      <c r="J629" s="69"/>
      <c r="N629" s="69"/>
      <c r="O629" s="69"/>
      <c r="P629" s="69"/>
    </row>
    <row r="630" ht="14.25" customHeight="1">
      <c r="J630" s="69"/>
      <c r="N630" s="69"/>
      <c r="O630" s="69"/>
      <c r="P630" s="69"/>
    </row>
    <row r="631" ht="14.25" customHeight="1">
      <c r="J631" s="69"/>
      <c r="N631" s="69"/>
      <c r="O631" s="69"/>
      <c r="P631" s="69"/>
    </row>
    <row r="632" ht="14.25" customHeight="1">
      <c r="J632" s="69"/>
      <c r="N632" s="69"/>
      <c r="O632" s="69"/>
      <c r="P632" s="69"/>
    </row>
    <row r="633" ht="14.25" customHeight="1">
      <c r="J633" s="69"/>
      <c r="N633" s="69"/>
      <c r="O633" s="69"/>
      <c r="P633" s="69"/>
    </row>
    <row r="634" ht="14.25" customHeight="1">
      <c r="J634" s="69"/>
      <c r="N634" s="69"/>
      <c r="O634" s="69"/>
      <c r="P634" s="69"/>
    </row>
    <row r="635" ht="14.25" customHeight="1">
      <c r="J635" s="69"/>
      <c r="N635" s="69"/>
      <c r="O635" s="69"/>
      <c r="P635" s="69"/>
    </row>
    <row r="636" ht="14.25" customHeight="1">
      <c r="J636" s="69"/>
      <c r="N636" s="69"/>
      <c r="O636" s="69"/>
      <c r="P636" s="69"/>
    </row>
    <row r="637" ht="14.25" customHeight="1">
      <c r="J637" s="69"/>
      <c r="N637" s="69"/>
      <c r="O637" s="69"/>
      <c r="P637" s="69"/>
    </row>
    <row r="638" ht="14.25" customHeight="1">
      <c r="J638" s="69"/>
      <c r="N638" s="69"/>
      <c r="O638" s="69"/>
      <c r="P638" s="69"/>
    </row>
    <row r="639" ht="14.25" customHeight="1">
      <c r="J639" s="69"/>
      <c r="N639" s="69"/>
      <c r="O639" s="69"/>
      <c r="P639" s="69"/>
    </row>
    <row r="640" ht="14.25" customHeight="1">
      <c r="J640" s="69"/>
      <c r="N640" s="69"/>
      <c r="O640" s="69"/>
      <c r="P640" s="69"/>
    </row>
    <row r="641" ht="14.25" customHeight="1">
      <c r="J641" s="69"/>
      <c r="N641" s="69"/>
      <c r="O641" s="69"/>
      <c r="P641" s="69"/>
    </row>
    <row r="642" ht="14.25" customHeight="1">
      <c r="J642" s="69"/>
      <c r="N642" s="69"/>
      <c r="O642" s="69"/>
      <c r="P642" s="69"/>
    </row>
    <row r="643" ht="14.25" customHeight="1">
      <c r="J643" s="69"/>
      <c r="N643" s="69"/>
      <c r="O643" s="69"/>
      <c r="P643" s="69"/>
    </row>
    <row r="644" ht="14.25" customHeight="1">
      <c r="J644" s="69"/>
      <c r="N644" s="69"/>
      <c r="O644" s="69"/>
      <c r="P644" s="69"/>
    </row>
    <row r="645" ht="14.25" customHeight="1">
      <c r="J645" s="69"/>
      <c r="N645" s="69"/>
      <c r="O645" s="69"/>
      <c r="P645" s="69"/>
    </row>
    <row r="646" ht="14.25" customHeight="1">
      <c r="J646" s="69"/>
      <c r="N646" s="69"/>
      <c r="O646" s="69"/>
      <c r="P646" s="69"/>
    </row>
    <row r="647" ht="14.25" customHeight="1">
      <c r="J647" s="69"/>
      <c r="N647" s="69"/>
      <c r="O647" s="69"/>
      <c r="P647" s="69"/>
    </row>
    <row r="648" ht="14.25" customHeight="1">
      <c r="J648" s="69"/>
      <c r="N648" s="69"/>
      <c r="O648" s="69"/>
      <c r="P648" s="69"/>
    </row>
    <row r="649" ht="14.25" customHeight="1">
      <c r="J649" s="69"/>
      <c r="N649" s="69"/>
      <c r="O649" s="69"/>
      <c r="P649" s="69"/>
    </row>
    <row r="650" ht="14.25" customHeight="1">
      <c r="J650" s="69"/>
      <c r="N650" s="69"/>
      <c r="O650" s="69"/>
      <c r="P650" s="69"/>
    </row>
    <row r="651" ht="14.25" customHeight="1">
      <c r="J651" s="69"/>
      <c r="N651" s="69"/>
      <c r="O651" s="69"/>
      <c r="P651" s="69"/>
    </row>
    <row r="652" ht="14.25" customHeight="1">
      <c r="J652" s="69"/>
      <c r="N652" s="69"/>
      <c r="O652" s="69"/>
      <c r="P652" s="69"/>
    </row>
    <row r="653" ht="14.25" customHeight="1">
      <c r="J653" s="69"/>
      <c r="N653" s="69"/>
      <c r="O653" s="69"/>
      <c r="P653" s="69"/>
    </row>
    <row r="654" ht="14.25" customHeight="1">
      <c r="J654" s="69"/>
      <c r="N654" s="69"/>
      <c r="O654" s="69"/>
      <c r="P654" s="69"/>
    </row>
    <row r="655" ht="14.25" customHeight="1">
      <c r="J655" s="69"/>
      <c r="N655" s="69"/>
      <c r="O655" s="69"/>
      <c r="P655" s="69"/>
    </row>
    <row r="656" ht="14.25" customHeight="1">
      <c r="J656" s="69"/>
      <c r="N656" s="69"/>
      <c r="O656" s="69"/>
      <c r="P656" s="69"/>
    </row>
    <row r="657" ht="14.25" customHeight="1">
      <c r="J657" s="69"/>
      <c r="N657" s="69"/>
      <c r="O657" s="69"/>
      <c r="P657" s="69"/>
    </row>
    <row r="658" ht="14.25" customHeight="1">
      <c r="J658" s="69"/>
      <c r="N658" s="69"/>
      <c r="O658" s="69"/>
      <c r="P658" s="69"/>
    </row>
    <row r="659" ht="14.25" customHeight="1">
      <c r="J659" s="69"/>
      <c r="N659" s="69"/>
      <c r="O659" s="69"/>
      <c r="P659" s="69"/>
    </row>
    <row r="660" ht="14.25" customHeight="1">
      <c r="J660" s="69"/>
      <c r="N660" s="69"/>
      <c r="O660" s="69"/>
      <c r="P660" s="69"/>
    </row>
    <row r="661" ht="14.25" customHeight="1">
      <c r="J661" s="69"/>
      <c r="N661" s="69"/>
      <c r="O661" s="69"/>
      <c r="P661" s="69"/>
    </row>
    <row r="662" ht="14.25" customHeight="1">
      <c r="J662" s="69"/>
      <c r="N662" s="69"/>
      <c r="O662" s="69"/>
      <c r="P662" s="69"/>
    </row>
    <row r="663" ht="14.25" customHeight="1">
      <c r="J663" s="69"/>
      <c r="N663" s="69"/>
      <c r="O663" s="69"/>
      <c r="P663" s="69"/>
    </row>
    <row r="664" ht="14.25" customHeight="1">
      <c r="J664" s="69"/>
      <c r="N664" s="69"/>
      <c r="O664" s="69"/>
      <c r="P664" s="69"/>
    </row>
    <row r="665" ht="14.25" customHeight="1">
      <c r="J665" s="69"/>
      <c r="N665" s="69"/>
      <c r="O665" s="69"/>
      <c r="P665" s="69"/>
    </row>
    <row r="666" ht="14.25" customHeight="1">
      <c r="J666" s="69"/>
      <c r="N666" s="69"/>
      <c r="O666" s="69"/>
      <c r="P666" s="69"/>
    </row>
    <row r="667" ht="14.25" customHeight="1">
      <c r="J667" s="69"/>
      <c r="N667" s="69"/>
      <c r="O667" s="69"/>
      <c r="P667" s="69"/>
    </row>
    <row r="668" ht="14.25" customHeight="1">
      <c r="J668" s="69"/>
      <c r="N668" s="69"/>
      <c r="O668" s="69"/>
      <c r="P668" s="69"/>
    </row>
    <row r="669" ht="14.25" customHeight="1">
      <c r="J669" s="69"/>
      <c r="N669" s="69"/>
      <c r="O669" s="69"/>
      <c r="P669" s="69"/>
    </row>
    <row r="670" ht="14.25" customHeight="1">
      <c r="J670" s="69"/>
      <c r="N670" s="69"/>
      <c r="O670" s="69"/>
      <c r="P670" s="69"/>
    </row>
    <row r="671" ht="14.25" customHeight="1">
      <c r="J671" s="69"/>
      <c r="N671" s="69"/>
      <c r="O671" s="69"/>
      <c r="P671" s="69"/>
    </row>
    <row r="672" ht="14.25" customHeight="1">
      <c r="J672" s="69"/>
      <c r="N672" s="69"/>
      <c r="O672" s="69"/>
      <c r="P672" s="69"/>
    </row>
    <row r="673" ht="14.25" customHeight="1">
      <c r="J673" s="69"/>
      <c r="N673" s="69"/>
      <c r="O673" s="69"/>
      <c r="P673" s="69"/>
    </row>
    <row r="674" ht="14.25" customHeight="1">
      <c r="J674" s="69"/>
      <c r="N674" s="69"/>
      <c r="O674" s="69"/>
      <c r="P674" s="69"/>
    </row>
    <row r="675" ht="14.25" customHeight="1">
      <c r="J675" s="69"/>
      <c r="N675" s="69"/>
      <c r="O675" s="69"/>
      <c r="P675" s="69"/>
    </row>
    <row r="676" ht="14.25" customHeight="1">
      <c r="J676" s="69"/>
      <c r="N676" s="69"/>
      <c r="O676" s="69"/>
      <c r="P676" s="69"/>
    </row>
    <row r="677" ht="14.25" customHeight="1">
      <c r="J677" s="69"/>
      <c r="N677" s="69"/>
      <c r="O677" s="69"/>
      <c r="P677" s="69"/>
    </row>
    <row r="678" ht="14.25" customHeight="1">
      <c r="J678" s="69"/>
      <c r="N678" s="69"/>
      <c r="O678" s="69"/>
      <c r="P678" s="69"/>
    </row>
    <row r="679" ht="14.25" customHeight="1">
      <c r="J679" s="69"/>
      <c r="N679" s="69"/>
      <c r="O679" s="69"/>
      <c r="P679" s="69"/>
    </row>
    <row r="680" ht="14.25" customHeight="1">
      <c r="J680" s="69"/>
      <c r="N680" s="69"/>
      <c r="O680" s="69"/>
      <c r="P680" s="69"/>
    </row>
    <row r="681" ht="14.25" customHeight="1">
      <c r="J681" s="69"/>
      <c r="N681" s="69"/>
      <c r="O681" s="69"/>
      <c r="P681" s="69"/>
    </row>
    <row r="682" ht="14.25" customHeight="1">
      <c r="J682" s="69"/>
      <c r="N682" s="69"/>
      <c r="O682" s="69"/>
      <c r="P682" s="69"/>
    </row>
    <row r="683" ht="14.25" customHeight="1">
      <c r="J683" s="69"/>
      <c r="N683" s="69"/>
      <c r="O683" s="69"/>
      <c r="P683" s="69"/>
    </row>
    <row r="684" ht="14.25" customHeight="1">
      <c r="J684" s="69"/>
      <c r="N684" s="69"/>
      <c r="O684" s="69"/>
      <c r="P684" s="69"/>
    </row>
    <row r="685" ht="14.25" customHeight="1">
      <c r="J685" s="69"/>
      <c r="N685" s="69"/>
      <c r="O685" s="69"/>
      <c r="P685" s="69"/>
    </row>
    <row r="686" ht="14.25" customHeight="1">
      <c r="J686" s="69"/>
      <c r="N686" s="69"/>
      <c r="O686" s="69"/>
      <c r="P686" s="69"/>
    </row>
    <row r="687" ht="14.25" customHeight="1">
      <c r="J687" s="69"/>
      <c r="N687" s="69"/>
      <c r="O687" s="69"/>
      <c r="P687" s="69"/>
    </row>
    <row r="688" ht="14.25" customHeight="1">
      <c r="J688" s="69"/>
      <c r="N688" s="69"/>
      <c r="O688" s="69"/>
      <c r="P688" s="69"/>
    </row>
    <row r="689" ht="14.25" customHeight="1">
      <c r="J689" s="69"/>
      <c r="N689" s="69"/>
      <c r="O689" s="69"/>
      <c r="P689" s="69"/>
    </row>
    <row r="690" ht="14.25" customHeight="1">
      <c r="J690" s="69"/>
      <c r="N690" s="69"/>
      <c r="O690" s="69"/>
      <c r="P690" s="69"/>
    </row>
    <row r="691" ht="14.25" customHeight="1">
      <c r="J691" s="69"/>
      <c r="N691" s="69"/>
      <c r="O691" s="69"/>
      <c r="P691" s="69"/>
    </row>
    <row r="692" ht="14.25" customHeight="1">
      <c r="J692" s="69"/>
      <c r="N692" s="69"/>
      <c r="O692" s="69"/>
      <c r="P692" s="69"/>
    </row>
    <row r="693" ht="14.25" customHeight="1">
      <c r="J693" s="69"/>
      <c r="N693" s="69"/>
      <c r="O693" s="69"/>
      <c r="P693" s="69"/>
    </row>
    <row r="694" ht="14.25" customHeight="1">
      <c r="J694" s="69"/>
      <c r="N694" s="69"/>
      <c r="O694" s="69"/>
      <c r="P694" s="69"/>
    </row>
    <row r="695" ht="14.25" customHeight="1">
      <c r="J695" s="69"/>
      <c r="N695" s="69"/>
      <c r="O695" s="69"/>
      <c r="P695" s="69"/>
    </row>
    <row r="696" ht="14.25" customHeight="1">
      <c r="J696" s="69"/>
      <c r="N696" s="69"/>
      <c r="O696" s="69"/>
      <c r="P696" s="69"/>
    </row>
    <row r="697" ht="14.25" customHeight="1">
      <c r="J697" s="69"/>
      <c r="N697" s="69"/>
      <c r="O697" s="69"/>
      <c r="P697" s="69"/>
    </row>
    <row r="698" ht="14.25" customHeight="1">
      <c r="J698" s="69"/>
      <c r="N698" s="69"/>
      <c r="O698" s="69"/>
      <c r="P698" s="69"/>
    </row>
    <row r="699" ht="14.25" customHeight="1">
      <c r="J699" s="69"/>
      <c r="N699" s="69"/>
      <c r="O699" s="69"/>
      <c r="P699" s="69"/>
    </row>
    <row r="700" ht="14.25" customHeight="1">
      <c r="J700" s="69"/>
      <c r="N700" s="69"/>
      <c r="O700" s="69"/>
      <c r="P700" s="69"/>
    </row>
    <row r="701" ht="14.25" customHeight="1">
      <c r="J701" s="69"/>
      <c r="N701" s="69"/>
      <c r="O701" s="69"/>
      <c r="P701" s="69"/>
    </row>
    <row r="702" ht="14.25" customHeight="1">
      <c r="J702" s="69"/>
      <c r="N702" s="69"/>
      <c r="O702" s="69"/>
      <c r="P702" s="69"/>
    </row>
    <row r="703" ht="14.25" customHeight="1">
      <c r="J703" s="69"/>
      <c r="N703" s="69"/>
      <c r="O703" s="69"/>
      <c r="P703" s="69"/>
    </row>
    <row r="704" ht="14.25" customHeight="1">
      <c r="J704" s="69"/>
      <c r="N704" s="69"/>
      <c r="O704" s="69"/>
      <c r="P704" s="69"/>
    </row>
    <row r="705" ht="14.25" customHeight="1">
      <c r="J705" s="69"/>
      <c r="N705" s="69"/>
      <c r="O705" s="69"/>
      <c r="P705" s="69"/>
    </row>
    <row r="706" ht="14.25" customHeight="1">
      <c r="J706" s="69"/>
      <c r="N706" s="69"/>
      <c r="O706" s="69"/>
      <c r="P706" s="69"/>
    </row>
    <row r="707" ht="14.25" customHeight="1">
      <c r="J707" s="69"/>
      <c r="N707" s="69"/>
      <c r="O707" s="69"/>
      <c r="P707" s="69"/>
    </row>
    <row r="708" ht="14.25" customHeight="1">
      <c r="J708" s="69"/>
      <c r="N708" s="69"/>
      <c r="O708" s="69"/>
      <c r="P708" s="69"/>
    </row>
    <row r="709" ht="14.25" customHeight="1">
      <c r="J709" s="69"/>
      <c r="N709" s="69"/>
      <c r="O709" s="69"/>
      <c r="P709" s="69"/>
    </row>
    <row r="710" ht="14.25" customHeight="1">
      <c r="J710" s="69"/>
      <c r="N710" s="69"/>
      <c r="O710" s="69"/>
      <c r="P710" s="69"/>
    </row>
    <row r="711" ht="14.25" customHeight="1">
      <c r="J711" s="69"/>
      <c r="N711" s="69"/>
      <c r="O711" s="69"/>
      <c r="P711" s="69"/>
    </row>
    <row r="712" ht="14.25" customHeight="1">
      <c r="J712" s="69"/>
      <c r="N712" s="69"/>
      <c r="O712" s="69"/>
      <c r="P712" s="69"/>
    </row>
    <row r="713" ht="14.25" customHeight="1">
      <c r="J713" s="69"/>
      <c r="N713" s="69"/>
      <c r="O713" s="69"/>
      <c r="P713" s="69"/>
    </row>
    <row r="714" ht="14.25" customHeight="1">
      <c r="J714" s="69"/>
      <c r="N714" s="69"/>
      <c r="O714" s="69"/>
      <c r="P714" s="69"/>
    </row>
    <row r="715" ht="14.25" customHeight="1">
      <c r="J715" s="69"/>
      <c r="N715" s="69"/>
      <c r="O715" s="69"/>
      <c r="P715" s="69"/>
    </row>
    <row r="716" ht="14.25" customHeight="1">
      <c r="J716" s="69"/>
      <c r="N716" s="69"/>
      <c r="O716" s="69"/>
      <c r="P716" s="69"/>
    </row>
    <row r="717" ht="14.25" customHeight="1">
      <c r="J717" s="69"/>
      <c r="N717" s="69"/>
      <c r="O717" s="69"/>
      <c r="P717" s="69"/>
    </row>
    <row r="718" ht="14.25" customHeight="1">
      <c r="J718" s="69"/>
      <c r="N718" s="69"/>
      <c r="O718" s="69"/>
      <c r="P718" s="69"/>
    </row>
    <row r="719" ht="14.25" customHeight="1">
      <c r="J719" s="69"/>
      <c r="N719" s="69"/>
      <c r="O719" s="69"/>
      <c r="P719" s="69"/>
    </row>
    <row r="720" ht="14.25" customHeight="1">
      <c r="J720" s="69"/>
      <c r="N720" s="69"/>
      <c r="O720" s="69"/>
      <c r="P720" s="69"/>
    </row>
    <row r="721" ht="14.25" customHeight="1">
      <c r="J721" s="69"/>
      <c r="N721" s="69"/>
      <c r="O721" s="69"/>
      <c r="P721" s="69"/>
    </row>
    <row r="722" ht="14.25" customHeight="1">
      <c r="J722" s="69"/>
      <c r="N722" s="69"/>
      <c r="O722" s="69"/>
      <c r="P722" s="69"/>
    </row>
    <row r="723" ht="14.25" customHeight="1">
      <c r="J723" s="69"/>
      <c r="N723" s="69"/>
      <c r="O723" s="69"/>
      <c r="P723" s="69"/>
    </row>
    <row r="724" ht="14.25" customHeight="1">
      <c r="J724" s="69"/>
      <c r="N724" s="69"/>
      <c r="O724" s="69"/>
      <c r="P724" s="69"/>
    </row>
    <row r="725" ht="14.25" customHeight="1">
      <c r="J725" s="69"/>
      <c r="N725" s="69"/>
      <c r="O725" s="69"/>
      <c r="P725" s="69"/>
    </row>
    <row r="726" ht="14.25" customHeight="1">
      <c r="J726" s="69"/>
      <c r="N726" s="69"/>
      <c r="O726" s="69"/>
      <c r="P726" s="69"/>
    </row>
    <row r="727" ht="14.25" customHeight="1">
      <c r="J727" s="69"/>
      <c r="N727" s="69"/>
      <c r="O727" s="69"/>
      <c r="P727" s="69"/>
    </row>
    <row r="728" ht="14.25" customHeight="1">
      <c r="J728" s="69"/>
      <c r="N728" s="69"/>
      <c r="O728" s="69"/>
      <c r="P728" s="69"/>
    </row>
    <row r="729" ht="14.25" customHeight="1">
      <c r="J729" s="69"/>
      <c r="N729" s="69"/>
      <c r="O729" s="69"/>
      <c r="P729" s="69"/>
    </row>
    <row r="730" ht="14.25" customHeight="1">
      <c r="J730" s="69"/>
      <c r="N730" s="69"/>
      <c r="O730" s="69"/>
      <c r="P730" s="69"/>
    </row>
    <row r="731" ht="14.25" customHeight="1">
      <c r="J731" s="69"/>
      <c r="N731" s="69"/>
      <c r="O731" s="69"/>
      <c r="P731" s="69"/>
    </row>
    <row r="732" ht="14.25" customHeight="1">
      <c r="J732" s="69"/>
      <c r="N732" s="69"/>
      <c r="O732" s="69"/>
      <c r="P732" s="69"/>
    </row>
    <row r="733" ht="14.25" customHeight="1">
      <c r="J733" s="69"/>
      <c r="N733" s="69"/>
      <c r="O733" s="69"/>
      <c r="P733" s="69"/>
    </row>
    <row r="734" ht="14.25" customHeight="1">
      <c r="J734" s="69"/>
      <c r="N734" s="69"/>
      <c r="O734" s="69"/>
      <c r="P734" s="69"/>
    </row>
    <row r="735" ht="14.25" customHeight="1">
      <c r="J735" s="69"/>
      <c r="N735" s="69"/>
      <c r="O735" s="69"/>
      <c r="P735" s="69"/>
    </row>
    <row r="736" ht="14.25" customHeight="1">
      <c r="J736" s="69"/>
      <c r="N736" s="69"/>
      <c r="O736" s="69"/>
      <c r="P736" s="69"/>
    </row>
    <row r="737" ht="14.25" customHeight="1">
      <c r="J737" s="69"/>
      <c r="N737" s="69"/>
      <c r="O737" s="69"/>
      <c r="P737" s="69"/>
    </row>
    <row r="738" ht="14.25" customHeight="1">
      <c r="J738" s="69"/>
      <c r="N738" s="69"/>
      <c r="O738" s="69"/>
      <c r="P738" s="69"/>
    </row>
    <row r="739" ht="14.25" customHeight="1">
      <c r="J739" s="69"/>
      <c r="N739" s="69"/>
      <c r="O739" s="69"/>
      <c r="P739" s="69"/>
    </row>
    <row r="740" ht="14.25" customHeight="1">
      <c r="J740" s="69"/>
      <c r="N740" s="69"/>
      <c r="O740" s="69"/>
      <c r="P740" s="69"/>
    </row>
    <row r="741" ht="14.25" customHeight="1">
      <c r="J741" s="69"/>
      <c r="N741" s="69"/>
      <c r="O741" s="69"/>
      <c r="P741" s="69"/>
    </row>
    <row r="742" ht="14.25" customHeight="1">
      <c r="J742" s="69"/>
      <c r="N742" s="69"/>
      <c r="O742" s="69"/>
      <c r="P742" s="69"/>
    </row>
    <row r="743" ht="14.25" customHeight="1">
      <c r="J743" s="69"/>
      <c r="N743" s="69"/>
      <c r="O743" s="69"/>
      <c r="P743" s="69"/>
    </row>
    <row r="744" ht="14.25" customHeight="1">
      <c r="J744" s="69"/>
      <c r="N744" s="69"/>
      <c r="O744" s="69"/>
      <c r="P744" s="69"/>
    </row>
    <row r="745" ht="14.25" customHeight="1">
      <c r="J745" s="69"/>
      <c r="N745" s="69"/>
      <c r="O745" s="69"/>
      <c r="P745" s="69"/>
    </row>
    <row r="746" ht="14.25" customHeight="1">
      <c r="J746" s="69"/>
      <c r="N746" s="69"/>
      <c r="O746" s="69"/>
      <c r="P746" s="69"/>
    </row>
    <row r="747" ht="14.25" customHeight="1">
      <c r="J747" s="69"/>
      <c r="N747" s="69"/>
      <c r="O747" s="69"/>
      <c r="P747" s="69"/>
    </row>
    <row r="748" ht="14.25" customHeight="1">
      <c r="J748" s="69"/>
      <c r="N748" s="69"/>
      <c r="O748" s="69"/>
      <c r="P748" s="69"/>
    </row>
    <row r="749" ht="14.25" customHeight="1">
      <c r="J749" s="69"/>
      <c r="N749" s="69"/>
      <c r="O749" s="69"/>
      <c r="P749" s="69"/>
    </row>
    <row r="750" ht="14.25" customHeight="1">
      <c r="J750" s="69"/>
      <c r="N750" s="69"/>
      <c r="O750" s="69"/>
      <c r="P750" s="69"/>
    </row>
    <row r="751" ht="14.25" customHeight="1">
      <c r="J751" s="69"/>
      <c r="N751" s="69"/>
      <c r="O751" s="69"/>
      <c r="P751" s="69"/>
    </row>
    <row r="752" ht="14.25" customHeight="1">
      <c r="J752" s="69"/>
      <c r="N752" s="69"/>
      <c r="O752" s="69"/>
      <c r="P752" s="69"/>
    </row>
    <row r="753" ht="14.25" customHeight="1">
      <c r="J753" s="69"/>
      <c r="N753" s="69"/>
      <c r="O753" s="69"/>
      <c r="P753" s="69"/>
    </row>
    <row r="754" ht="14.25" customHeight="1">
      <c r="J754" s="69"/>
      <c r="N754" s="69"/>
      <c r="O754" s="69"/>
      <c r="P754" s="69"/>
    </row>
    <row r="755" ht="14.25" customHeight="1">
      <c r="J755" s="69"/>
      <c r="N755" s="69"/>
      <c r="O755" s="69"/>
      <c r="P755" s="69"/>
    </row>
    <row r="756" ht="14.25" customHeight="1">
      <c r="J756" s="69"/>
      <c r="N756" s="69"/>
      <c r="O756" s="69"/>
      <c r="P756" s="69"/>
    </row>
    <row r="757" ht="14.25" customHeight="1">
      <c r="J757" s="69"/>
      <c r="N757" s="69"/>
      <c r="O757" s="69"/>
      <c r="P757" s="69"/>
    </row>
    <row r="758" ht="14.25" customHeight="1">
      <c r="J758" s="69"/>
      <c r="N758" s="69"/>
      <c r="O758" s="69"/>
      <c r="P758" s="69"/>
    </row>
    <row r="759" ht="14.25" customHeight="1">
      <c r="J759" s="69"/>
      <c r="N759" s="69"/>
      <c r="O759" s="69"/>
      <c r="P759" s="69"/>
    </row>
    <row r="760" ht="14.25" customHeight="1">
      <c r="J760" s="69"/>
      <c r="N760" s="69"/>
      <c r="O760" s="69"/>
      <c r="P760" s="69"/>
    </row>
    <row r="761" ht="14.25" customHeight="1">
      <c r="J761" s="69"/>
      <c r="N761" s="69"/>
      <c r="O761" s="69"/>
      <c r="P761" s="69"/>
    </row>
    <row r="762" ht="14.25" customHeight="1">
      <c r="J762" s="69"/>
      <c r="N762" s="69"/>
      <c r="O762" s="69"/>
      <c r="P762" s="69"/>
    </row>
    <row r="763" ht="14.25" customHeight="1">
      <c r="J763" s="69"/>
      <c r="N763" s="69"/>
      <c r="O763" s="69"/>
      <c r="P763" s="69"/>
    </row>
    <row r="764" ht="14.25" customHeight="1">
      <c r="J764" s="69"/>
      <c r="N764" s="69"/>
      <c r="O764" s="69"/>
      <c r="P764" s="69"/>
    </row>
    <row r="765" ht="14.25" customHeight="1">
      <c r="J765" s="69"/>
      <c r="N765" s="69"/>
      <c r="O765" s="69"/>
      <c r="P765" s="69"/>
    </row>
    <row r="766" ht="14.25" customHeight="1">
      <c r="J766" s="69"/>
      <c r="N766" s="69"/>
      <c r="O766" s="69"/>
      <c r="P766" s="69"/>
    </row>
    <row r="767" ht="14.25" customHeight="1">
      <c r="J767" s="69"/>
      <c r="N767" s="69"/>
      <c r="O767" s="69"/>
      <c r="P767" s="69"/>
    </row>
    <row r="768" ht="14.25" customHeight="1">
      <c r="J768" s="69"/>
      <c r="N768" s="69"/>
      <c r="O768" s="69"/>
      <c r="P768" s="69"/>
    </row>
    <row r="769" ht="14.25" customHeight="1">
      <c r="J769" s="69"/>
      <c r="N769" s="69"/>
      <c r="O769" s="69"/>
      <c r="P769" s="69"/>
    </row>
    <row r="770" ht="14.25" customHeight="1">
      <c r="J770" s="69"/>
      <c r="N770" s="69"/>
      <c r="O770" s="69"/>
      <c r="P770" s="69"/>
    </row>
    <row r="771" ht="14.25" customHeight="1">
      <c r="J771" s="69"/>
      <c r="N771" s="69"/>
      <c r="O771" s="69"/>
      <c r="P771" s="69"/>
    </row>
    <row r="772" ht="14.25" customHeight="1">
      <c r="J772" s="69"/>
      <c r="N772" s="69"/>
      <c r="O772" s="69"/>
      <c r="P772" s="69"/>
    </row>
    <row r="773" ht="14.25" customHeight="1">
      <c r="J773" s="69"/>
      <c r="N773" s="69"/>
      <c r="O773" s="69"/>
      <c r="P773" s="69"/>
    </row>
    <row r="774" ht="14.25" customHeight="1">
      <c r="J774" s="69"/>
      <c r="N774" s="69"/>
      <c r="O774" s="69"/>
      <c r="P774" s="69"/>
    </row>
    <row r="775" ht="14.25" customHeight="1">
      <c r="J775" s="69"/>
      <c r="N775" s="69"/>
      <c r="O775" s="69"/>
      <c r="P775" s="69"/>
    </row>
    <row r="776" ht="14.25" customHeight="1">
      <c r="J776" s="69"/>
      <c r="N776" s="69"/>
      <c r="O776" s="69"/>
      <c r="P776" s="69"/>
    </row>
    <row r="777" ht="14.25" customHeight="1">
      <c r="J777" s="69"/>
      <c r="N777" s="69"/>
      <c r="O777" s="69"/>
      <c r="P777" s="69"/>
    </row>
    <row r="778" ht="14.25" customHeight="1">
      <c r="J778" s="69"/>
      <c r="N778" s="69"/>
      <c r="O778" s="69"/>
      <c r="P778" s="69"/>
    </row>
    <row r="779" ht="14.25" customHeight="1">
      <c r="J779" s="69"/>
      <c r="N779" s="69"/>
      <c r="O779" s="69"/>
      <c r="P779" s="69"/>
    </row>
    <row r="780" ht="14.25" customHeight="1">
      <c r="J780" s="69"/>
      <c r="N780" s="69"/>
      <c r="O780" s="69"/>
      <c r="P780" s="69"/>
    </row>
    <row r="781" ht="14.25" customHeight="1">
      <c r="J781" s="69"/>
      <c r="N781" s="69"/>
      <c r="O781" s="69"/>
      <c r="P781" s="69"/>
    </row>
    <row r="782" ht="14.25" customHeight="1">
      <c r="J782" s="69"/>
      <c r="N782" s="69"/>
      <c r="O782" s="69"/>
      <c r="P782" s="69"/>
    </row>
    <row r="783" ht="14.25" customHeight="1">
      <c r="J783" s="69"/>
      <c r="N783" s="69"/>
      <c r="O783" s="69"/>
      <c r="P783" s="69"/>
    </row>
    <row r="784" ht="14.25" customHeight="1">
      <c r="J784" s="69"/>
      <c r="N784" s="69"/>
      <c r="O784" s="69"/>
      <c r="P784" s="69"/>
    </row>
    <row r="785" ht="14.25" customHeight="1">
      <c r="J785" s="69"/>
      <c r="N785" s="69"/>
      <c r="O785" s="69"/>
      <c r="P785" s="69"/>
    </row>
    <row r="786" ht="14.25" customHeight="1">
      <c r="J786" s="69"/>
      <c r="N786" s="69"/>
      <c r="O786" s="69"/>
      <c r="P786" s="69"/>
    </row>
    <row r="787" ht="14.25" customHeight="1">
      <c r="J787" s="69"/>
      <c r="N787" s="69"/>
      <c r="O787" s="69"/>
      <c r="P787" s="69"/>
    </row>
    <row r="788" ht="14.25" customHeight="1">
      <c r="J788" s="69"/>
      <c r="N788" s="69"/>
      <c r="O788" s="69"/>
      <c r="P788" s="69"/>
    </row>
    <row r="789" ht="14.25" customHeight="1">
      <c r="J789" s="69"/>
      <c r="N789" s="69"/>
      <c r="O789" s="69"/>
      <c r="P789" s="69"/>
    </row>
    <row r="790" ht="14.25" customHeight="1">
      <c r="J790" s="69"/>
      <c r="N790" s="69"/>
      <c r="O790" s="69"/>
      <c r="P790" s="69"/>
    </row>
    <row r="791" ht="14.25" customHeight="1">
      <c r="J791" s="69"/>
      <c r="N791" s="69"/>
      <c r="O791" s="69"/>
      <c r="P791" s="69"/>
    </row>
    <row r="792" ht="14.25" customHeight="1">
      <c r="J792" s="69"/>
      <c r="N792" s="69"/>
      <c r="O792" s="69"/>
      <c r="P792" s="69"/>
    </row>
    <row r="793" ht="14.25" customHeight="1">
      <c r="J793" s="69"/>
      <c r="N793" s="69"/>
      <c r="O793" s="69"/>
      <c r="P793" s="69"/>
    </row>
    <row r="794" ht="14.25" customHeight="1">
      <c r="J794" s="69"/>
      <c r="N794" s="69"/>
      <c r="O794" s="69"/>
      <c r="P794" s="69"/>
    </row>
    <row r="795" ht="14.25" customHeight="1">
      <c r="J795" s="69"/>
      <c r="N795" s="69"/>
      <c r="O795" s="69"/>
      <c r="P795" s="69"/>
    </row>
    <row r="796" ht="14.25" customHeight="1">
      <c r="J796" s="69"/>
      <c r="N796" s="69"/>
      <c r="O796" s="69"/>
      <c r="P796" s="69"/>
    </row>
    <row r="797" ht="14.25" customHeight="1">
      <c r="J797" s="69"/>
      <c r="N797" s="69"/>
      <c r="O797" s="69"/>
      <c r="P797" s="69"/>
    </row>
    <row r="798" ht="14.25" customHeight="1">
      <c r="J798" s="69"/>
      <c r="N798" s="69"/>
      <c r="O798" s="69"/>
      <c r="P798" s="69"/>
    </row>
    <row r="799" ht="14.25" customHeight="1">
      <c r="J799" s="69"/>
      <c r="N799" s="69"/>
      <c r="O799" s="69"/>
      <c r="P799" s="69"/>
    </row>
    <row r="800" ht="14.25" customHeight="1">
      <c r="J800" s="69"/>
      <c r="N800" s="69"/>
      <c r="O800" s="69"/>
      <c r="P800" s="69"/>
    </row>
    <row r="801" ht="14.25" customHeight="1">
      <c r="J801" s="69"/>
      <c r="N801" s="69"/>
      <c r="O801" s="69"/>
      <c r="P801" s="69"/>
    </row>
    <row r="802" ht="14.25" customHeight="1">
      <c r="J802" s="69"/>
      <c r="N802" s="69"/>
      <c r="O802" s="69"/>
      <c r="P802" s="69"/>
    </row>
    <row r="803" ht="14.25" customHeight="1">
      <c r="J803" s="69"/>
      <c r="N803" s="69"/>
      <c r="O803" s="69"/>
      <c r="P803" s="69"/>
    </row>
    <row r="804" ht="14.25" customHeight="1">
      <c r="J804" s="69"/>
      <c r="N804" s="69"/>
      <c r="O804" s="69"/>
      <c r="P804" s="69"/>
    </row>
    <row r="805" ht="14.25" customHeight="1">
      <c r="J805" s="69"/>
      <c r="N805" s="69"/>
      <c r="O805" s="69"/>
      <c r="P805" s="69"/>
    </row>
    <row r="806" ht="14.25" customHeight="1">
      <c r="J806" s="69"/>
      <c r="N806" s="69"/>
      <c r="O806" s="69"/>
      <c r="P806" s="69"/>
    </row>
    <row r="807" ht="14.25" customHeight="1">
      <c r="J807" s="69"/>
      <c r="N807" s="69"/>
      <c r="O807" s="69"/>
      <c r="P807" s="69"/>
    </row>
    <row r="808" ht="14.25" customHeight="1">
      <c r="J808" s="69"/>
      <c r="N808" s="69"/>
      <c r="O808" s="69"/>
      <c r="P808" s="69"/>
    </row>
    <row r="809" ht="14.25" customHeight="1">
      <c r="J809" s="69"/>
      <c r="N809" s="69"/>
      <c r="O809" s="69"/>
      <c r="P809" s="69"/>
    </row>
    <row r="810" ht="14.25" customHeight="1">
      <c r="J810" s="69"/>
      <c r="N810" s="69"/>
      <c r="O810" s="69"/>
      <c r="P810" s="69"/>
    </row>
    <row r="811" ht="14.25" customHeight="1">
      <c r="J811" s="69"/>
      <c r="N811" s="69"/>
      <c r="O811" s="69"/>
      <c r="P811" s="69"/>
    </row>
    <row r="812" ht="14.25" customHeight="1">
      <c r="J812" s="69"/>
      <c r="N812" s="69"/>
      <c r="O812" s="69"/>
      <c r="P812" s="69"/>
    </row>
    <row r="813" ht="14.25" customHeight="1">
      <c r="J813" s="69"/>
      <c r="N813" s="69"/>
      <c r="O813" s="69"/>
      <c r="P813" s="69"/>
    </row>
    <row r="814" ht="14.25" customHeight="1">
      <c r="J814" s="69"/>
      <c r="N814" s="69"/>
      <c r="O814" s="69"/>
      <c r="P814" s="69"/>
    </row>
    <row r="815" ht="14.25" customHeight="1">
      <c r="J815" s="69"/>
      <c r="N815" s="69"/>
      <c r="O815" s="69"/>
      <c r="P815" s="69"/>
    </row>
    <row r="816" ht="14.25" customHeight="1">
      <c r="J816" s="69"/>
      <c r="N816" s="69"/>
      <c r="O816" s="69"/>
      <c r="P816" s="69"/>
    </row>
    <row r="817" ht="14.25" customHeight="1">
      <c r="J817" s="69"/>
      <c r="N817" s="69"/>
      <c r="O817" s="69"/>
      <c r="P817" s="69"/>
    </row>
    <row r="818" ht="14.25" customHeight="1">
      <c r="J818" s="69"/>
      <c r="N818" s="69"/>
      <c r="O818" s="69"/>
      <c r="P818" s="69"/>
    </row>
    <row r="819" ht="14.25" customHeight="1">
      <c r="J819" s="69"/>
      <c r="N819" s="69"/>
      <c r="O819" s="69"/>
      <c r="P819" s="69"/>
    </row>
    <row r="820" ht="14.25" customHeight="1">
      <c r="J820" s="69"/>
      <c r="N820" s="69"/>
      <c r="O820" s="69"/>
      <c r="P820" s="69"/>
    </row>
    <row r="821" ht="14.25" customHeight="1">
      <c r="J821" s="69"/>
      <c r="N821" s="69"/>
      <c r="O821" s="69"/>
      <c r="P821" s="69"/>
    </row>
    <row r="822" ht="14.25" customHeight="1">
      <c r="J822" s="69"/>
      <c r="N822" s="69"/>
      <c r="O822" s="69"/>
      <c r="P822" s="69"/>
    </row>
    <row r="823" ht="14.25" customHeight="1">
      <c r="J823" s="69"/>
      <c r="N823" s="69"/>
      <c r="O823" s="69"/>
      <c r="P823" s="69"/>
    </row>
    <row r="824" ht="14.25" customHeight="1">
      <c r="J824" s="69"/>
      <c r="N824" s="69"/>
      <c r="O824" s="69"/>
      <c r="P824" s="69"/>
    </row>
    <row r="825" ht="14.25" customHeight="1">
      <c r="J825" s="69"/>
      <c r="N825" s="69"/>
      <c r="O825" s="69"/>
      <c r="P825" s="69"/>
    </row>
    <row r="826" ht="14.25" customHeight="1">
      <c r="J826" s="69"/>
      <c r="N826" s="69"/>
      <c r="O826" s="69"/>
      <c r="P826" s="69"/>
    </row>
    <row r="827" ht="14.25" customHeight="1">
      <c r="J827" s="69"/>
      <c r="N827" s="69"/>
      <c r="O827" s="69"/>
      <c r="P827" s="69"/>
    </row>
    <row r="828" ht="14.25" customHeight="1">
      <c r="J828" s="69"/>
      <c r="N828" s="69"/>
      <c r="O828" s="69"/>
      <c r="P828" s="69"/>
    </row>
    <row r="829" ht="14.25" customHeight="1">
      <c r="J829" s="69"/>
      <c r="N829" s="69"/>
      <c r="O829" s="69"/>
      <c r="P829" s="69"/>
    </row>
    <row r="830" ht="14.25" customHeight="1">
      <c r="J830" s="69"/>
      <c r="N830" s="69"/>
      <c r="O830" s="69"/>
      <c r="P830" s="69"/>
    </row>
    <row r="831" ht="14.25" customHeight="1">
      <c r="J831" s="69"/>
      <c r="N831" s="69"/>
      <c r="O831" s="69"/>
      <c r="P831" s="69"/>
    </row>
    <row r="832" ht="14.25" customHeight="1">
      <c r="J832" s="69"/>
      <c r="N832" s="69"/>
      <c r="O832" s="69"/>
      <c r="P832" s="69"/>
    </row>
    <row r="833" ht="14.25" customHeight="1">
      <c r="J833" s="69"/>
      <c r="N833" s="69"/>
      <c r="O833" s="69"/>
      <c r="P833" s="69"/>
    </row>
    <row r="834" ht="14.25" customHeight="1">
      <c r="J834" s="69"/>
      <c r="N834" s="69"/>
      <c r="O834" s="69"/>
      <c r="P834" s="69"/>
    </row>
    <row r="835" ht="14.25" customHeight="1">
      <c r="J835" s="69"/>
      <c r="N835" s="69"/>
      <c r="O835" s="69"/>
      <c r="P835" s="69"/>
    </row>
    <row r="836" ht="14.25" customHeight="1">
      <c r="J836" s="69"/>
      <c r="N836" s="69"/>
      <c r="O836" s="69"/>
      <c r="P836" s="69"/>
    </row>
    <row r="837" ht="14.25" customHeight="1">
      <c r="J837" s="69"/>
      <c r="N837" s="69"/>
      <c r="O837" s="69"/>
      <c r="P837" s="69"/>
    </row>
    <row r="838" ht="14.25" customHeight="1">
      <c r="J838" s="69"/>
      <c r="N838" s="69"/>
      <c r="O838" s="69"/>
      <c r="P838" s="69"/>
    </row>
    <row r="839" ht="14.25" customHeight="1">
      <c r="J839" s="69"/>
      <c r="N839" s="69"/>
      <c r="O839" s="69"/>
      <c r="P839" s="69"/>
    </row>
    <row r="840" ht="14.25" customHeight="1">
      <c r="J840" s="69"/>
      <c r="N840" s="69"/>
      <c r="O840" s="69"/>
      <c r="P840" s="69"/>
    </row>
    <row r="841" ht="14.25" customHeight="1">
      <c r="J841" s="69"/>
      <c r="N841" s="69"/>
      <c r="O841" s="69"/>
      <c r="P841" s="69"/>
    </row>
    <row r="842" ht="14.25" customHeight="1">
      <c r="J842" s="69"/>
      <c r="N842" s="69"/>
      <c r="O842" s="69"/>
      <c r="P842" s="69"/>
    </row>
    <row r="843" ht="14.25" customHeight="1">
      <c r="J843" s="69"/>
      <c r="N843" s="69"/>
      <c r="O843" s="69"/>
      <c r="P843" s="69"/>
    </row>
    <row r="844" ht="14.25" customHeight="1">
      <c r="J844" s="69"/>
      <c r="N844" s="69"/>
      <c r="O844" s="69"/>
      <c r="P844" s="69"/>
    </row>
    <row r="845" ht="14.25" customHeight="1">
      <c r="J845" s="69"/>
      <c r="N845" s="69"/>
      <c r="O845" s="69"/>
      <c r="P845" s="69"/>
    </row>
    <row r="846" ht="14.25" customHeight="1">
      <c r="J846" s="69"/>
      <c r="N846" s="69"/>
      <c r="O846" s="69"/>
      <c r="P846" s="69"/>
    </row>
    <row r="847" ht="14.25" customHeight="1">
      <c r="J847" s="69"/>
      <c r="N847" s="69"/>
      <c r="O847" s="69"/>
      <c r="P847" s="69"/>
    </row>
    <row r="848" ht="14.25" customHeight="1">
      <c r="J848" s="69"/>
      <c r="N848" s="69"/>
      <c r="O848" s="69"/>
      <c r="P848" s="69"/>
    </row>
    <row r="849" ht="14.25" customHeight="1">
      <c r="J849" s="69"/>
      <c r="N849" s="69"/>
      <c r="O849" s="69"/>
      <c r="P849" s="69"/>
    </row>
    <row r="850" ht="14.25" customHeight="1">
      <c r="J850" s="69"/>
      <c r="N850" s="69"/>
      <c r="O850" s="69"/>
      <c r="P850" s="69"/>
    </row>
    <row r="851" ht="14.25" customHeight="1">
      <c r="J851" s="69"/>
      <c r="N851" s="69"/>
      <c r="O851" s="69"/>
      <c r="P851" s="69"/>
    </row>
    <row r="852" ht="14.25" customHeight="1">
      <c r="J852" s="69"/>
      <c r="N852" s="69"/>
      <c r="O852" s="69"/>
      <c r="P852" s="69"/>
    </row>
    <row r="853" ht="14.25" customHeight="1">
      <c r="J853" s="69"/>
      <c r="N853" s="69"/>
      <c r="O853" s="69"/>
      <c r="P853" s="69"/>
    </row>
    <row r="854" ht="14.25" customHeight="1">
      <c r="J854" s="69"/>
      <c r="N854" s="69"/>
      <c r="O854" s="69"/>
      <c r="P854" s="69"/>
    </row>
    <row r="855" ht="14.25" customHeight="1">
      <c r="J855" s="69"/>
      <c r="N855" s="69"/>
      <c r="O855" s="69"/>
      <c r="P855" s="69"/>
    </row>
    <row r="856" ht="14.25" customHeight="1">
      <c r="J856" s="69"/>
      <c r="N856" s="69"/>
      <c r="O856" s="69"/>
      <c r="P856" s="69"/>
    </row>
    <row r="857" ht="14.25" customHeight="1">
      <c r="J857" s="69"/>
      <c r="N857" s="69"/>
      <c r="O857" s="69"/>
      <c r="P857" s="69"/>
    </row>
    <row r="858" ht="14.25" customHeight="1">
      <c r="J858" s="69"/>
      <c r="N858" s="69"/>
      <c r="O858" s="69"/>
      <c r="P858" s="69"/>
    </row>
    <row r="859" ht="14.25" customHeight="1">
      <c r="J859" s="69"/>
      <c r="N859" s="69"/>
      <c r="O859" s="69"/>
      <c r="P859" s="69"/>
    </row>
    <row r="860" ht="14.25" customHeight="1">
      <c r="J860" s="69"/>
      <c r="N860" s="69"/>
      <c r="O860" s="69"/>
      <c r="P860" s="69"/>
    </row>
    <row r="861" ht="14.25" customHeight="1">
      <c r="J861" s="69"/>
      <c r="N861" s="69"/>
      <c r="O861" s="69"/>
      <c r="P861" s="69"/>
    </row>
    <row r="862" ht="14.25" customHeight="1">
      <c r="J862" s="69"/>
      <c r="N862" s="69"/>
      <c r="O862" s="69"/>
      <c r="P862" s="69"/>
    </row>
    <row r="863" ht="14.25" customHeight="1">
      <c r="J863" s="69"/>
      <c r="N863" s="69"/>
      <c r="O863" s="69"/>
      <c r="P863" s="69"/>
    </row>
    <row r="864" ht="14.25" customHeight="1">
      <c r="J864" s="69"/>
      <c r="N864" s="69"/>
      <c r="O864" s="69"/>
      <c r="P864" s="69"/>
    </row>
    <row r="865" ht="14.25" customHeight="1">
      <c r="J865" s="69"/>
      <c r="N865" s="69"/>
      <c r="O865" s="69"/>
      <c r="P865" s="69"/>
    </row>
    <row r="866" ht="14.25" customHeight="1">
      <c r="J866" s="69"/>
      <c r="N866" s="69"/>
      <c r="O866" s="69"/>
      <c r="P866" s="69"/>
    </row>
    <row r="867" ht="14.25" customHeight="1">
      <c r="J867" s="69"/>
      <c r="N867" s="69"/>
      <c r="O867" s="69"/>
      <c r="P867" s="69"/>
    </row>
    <row r="868" ht="14.25" customHeight="1">
      <c r="J868" s="69"/>
      <c r="N868" s="69"/>
      <c r="O868" s="69"/>
      <c r="P868" s="69"/>
    </row>
    <row r="869" ht="14.25" customHeight="1">
      <c r="J869" s="69"/>
      <c r="N869" s="69"/>
      <c r="O869" s="69"/>
      <c r="P869" s="69"/>
    </row>
    <row r="870" ht="14.25" customHeight="1">
      <c r="J870" s="69"/>
      <c r="N870" s="69"/>
      <c r="O870" s="69"/>
      <c r="P870" s="69"/>
    </row>
    <row r="871" ht="14.25" customHeight="1">
      <c r="J871" s="69"/>
      <c r="N871" s="69"/>
      <c r="O871" s="69"/>
      <c r="P871" s="69"/>
    </row>
    <row r="872" ht="14.25" customHeight="1">
      <c r="J872" s="69"/>
      <c r="N872" s="69"/>
      <c r="O872" s="69"/>
      <c r="P872" s="69"/>
    </row>
    <row r="873" ht="14.25" customHeight="1">
      <c r="J873" s="69"/>
      <c r="N873" s="69"/>
      <c r="O873" s="69"/>
      <c r="P873" s="69"/>
    </row>
    <row r="874" ht="14.25" customHeight="1">
      <c r="J874" s="69"/>
      <c r="N874" s="69"/>
      <c r="O874" s="69"/>
      <c r="P874" s="69"/>
    </row>
    <row r="875" ht="14.25" customHeight="1">
      <c r="J875" s="69"/>
      <c r="N875" s="69"/>
      <c r="O875" s="69"/>
      <c r="P875" s="69"/>
    </row>
    <row r="876" ht="14.25" customHeight="1">
      <c r="J876" s="69"/>
      <c r="N876" s="69"/>
      <c r="O876" s="69"/>
      <c r="P876" s="69"/>
    </row>
    <row r="877" ht="14.25" customHeight="1">
      <c r="J877" s="69"/>
      <c r="N877" s="69"/>
      <c r="O877" s="69"/>
      <c r="P877" s="69"/>
    </row>
    <row r="878" ht="14.25" customHeight="1">
      <c r="J878" s="69"/>
      <c r="N878" s="69"/>
      <c r="O878" s="69"/>
      <c r="P878" s="69"/>
    </row>
    <row r="879" ht="14.25" customHeight="1">
      <c r="J879" s="69"/>
      <c r="N879" s="69"/>
      <c r="O879" s="69"/>
      <c r="P879" s="69"/>
    </row>
    <row r="880" ht="14.25" customHeight="1">
      <c r="J880" s="69"/>
      <c r="N880" s="69"/>
      <c r="O880" s="69"/>
      <c r="P880" s="69"/>
    </row>
    <row r="881" ht="14.25" customHeight="1">
      <c r="J881" s="69"/>
      <c r="N881" s="69"/>
      <c r="O881" s="69"/>
      <c r="P881" s="69"/>
    </row>
    <row r="882" ht="14.25" customHeight="1">
      <c r="J882" s="69"/>
      <c r="N882" s="69"/>
      <c r="O882" s="69"/>
      <c r="P882" s="69"/>
    </row>
    <row r="883" ht="14.25" customHeight="1">
      <c r="J883" s="69"/>
      <c r="N883" s="69"/>
      <c r="O883" s="69"/>
      <c r="P883" s="69"/>
    </row>
    <row r="884" ht="14.25" customHeight="1">
      <c r="J884" s="69"/>
      <c r="N884" s="69"/>
      <c r="O884" s="69"/>
      <c r="P884" s="69"/>
    </row>
    <row r="885" ht="14.25" customHeight="1">
      <c r="J885" s="69"/>
      <c r="N885" s="69"/>
      <c r="O885" s="69"/>
      <c r="P885" s="69"/>
    </row>
    <row r="886" ht="14.25" customHeight="1">
      <c r="J886" s="69"/>
      <c r="N886" s="69"/>
      <c r="O886" s="69"/>
      <c r="P886" s="69"/>
    </row>
    <row r="887" ht="14.25" customHeight="1">
      <c r="J887" s="69"/>
      <c r="N887" s="69"/>
      <c r="O887" s="69"/>
      <c r="P887" s="69"/>
    </row>
    <row r="888" ht="14.25" customHeight="1">
      <c r="J888" s="69"/>
      <c r="N888" s="69"/>
      <c r="O888" s="69"/>
      <c r="P888" s="69"/>
    </row>
    <row r="889" ht="14.25" customHeight="1">
      <c r="J889" s="69"/>
      <c r="N889" s="69"/>
      <c r="O889" s="69"/>
      <c r="P889" s="69"/>
    </row>
    <row r="890" ht="14.25" customHeight="1">
      <c r="J890" s="69"/>
      <c r="N890" s="69"/>
      <c r="O890" s="69"/>
      <c r="P890" s="69"/>
    </row>
    <row r="891" ht="14.25" customHeight="1">
      <c r="J891" s="69"/>
      <c r="N891" s="69"/>
      <c r="O891" s="69"/>
      <c r="P891" s="69"/>
    </row>
    <row r="892" ht="14.25" customHeight="1">
      <c r="J892" s="69"/>
      <c r="N892" s="69"/>
      <c r="O892" s="69"/>
      <c r="P892" s="69"/>
    </row>
    <row r="893" ht="14.25" customHeight="1">
      <c r="J893" s="69"/>
      <c r="N893" s="69"/>
      <c r="O893" s="69"/>
      <c r="P893" s="69"/>
    </row>
    <row r="894" ht="14.25" customHeight="1">
      <c r="J894" s="69"/>
      <c r="N894" s="69"/>
      <c r="O894" s="69"/>
      <c r="P894" s="69"/>
    </row>
    <row r="895" ht="14.25" customHeight="1">
      <c r="J895" s="69"/>
      <c r="N895" s="69"/>
      <c r="O895" s="69"/>
      <c r="P895" s="69"/>
    </row>
    <row r="896" ht="14.25" customHeight="1">
      <c r="J896" s="69"/>
      <c r="N896" s="69"/>
      <c r="O896" s="69"/>
      <c r="P896" s="69"/>
    </row>
    <row r="897" ht="14.25" customHeight="1">
      <c r="J897" s="69"/>
      <c r="N897" s="69"/>
      <c r="O897" s="69"/>
      <c r="P897" s="69"/>
    </row>
    <row r="898" ht="14.25" customHeight="1">
      <c r="J898" s="69"/>
      <c r="N898" s="69"/>
      <c r="O898" s="69"/>
      <c r="P898" s="69"/>
    </row>
    <row r="899" ht="14.25" customHeight="1">
      <c r="J899" s="69"/>
      <c r="N899" s="69"/>
      <c r="O899" s="69"/>
      <c r="P899" s="69"/>
    </row>
    <row r="900" ht="14.25" customHeight="1">
      <c r="J900" s="69"/>
      <c r="N900" s="69"/>
      <c r="O900" s="69"/>
      <c r="P900" s="69"/>
    </row>
    <row r="901" ht="14.25" customHeight="1">
      <c r="J901" s="69"/>
      <c r="N901" s="69"/>
      <c r="O901" s="69"/>
      <c r="P901" s="69"/>
    </row>
    <row r="902" ht="14.25" customHeight="1">
      <c r="J902" s="69"/>
      <c r="N902" s="69"/>
      <c r="O902" s="69"/>
      <c r="P902" s="69"/>
    </row>
    <row r="903" ht="14.25" customHeight="1">
      <c r="J903" s="69"/>
      <c r="N903" s="69"/>
      <c r="O903" s="69"/>
      <c r="P903" s="69"/>
    </row>
    <row r="904" ht="14.25" customHeight="1">
      <c r="J904" s="69"/>
      <c r="N904" s="69"/>
      <c r="O904" s="69"/>
      <c r="P904" s="69"/>
    </row>
    <row r="905" ht="14.25" customHeight="1">
      <c r="J905" s="69"/>
      <c r="N905" s="69"/>
      <c r="O905" s="69"/>
      <c r="P905" s="69"/>
    </row>
    <row r="906" ht="14.25" customHeight="1">
      <c r="J906" s="69"/>
      <c r="N906" s="69"/>
      <c r="O906" s="69"/>
      <c r="P906" s="69"/>
    </row>
    <row r="907" ht="14.25" customHeight="1">
      <c r="J907" s="69"/>
      <c r="N907" s="69"/>
      <c r="O907" s="69"/>
      <c r="P907" s="69"/>
    </row>
    <row r="908" ht="14.25" customHeight="1">
      <c r="J908" s="69"/>
      <c r="N908" s="69"/>
      <c r="O908" s="69"/>
      <c r="P908" s="69"/>
    </row>
    <row r="909" ht="14.25" customHeight="1">
      <c r="J909" s="69"/>
      <c r="N909" s="69"/>
      <c r="O909" s="69"/>
      <c r="P909" s="69"/>
    </row>
    <row r="910" ht="14.25" customHeight="1">
      <c r="J910" s="69"/>
      <c r="N910" s="69"/>
      <c r="O910" s="69"/>
      <c r="P910" s="69"/>
    </row>
    <row r="911" ht="14.25" customHeight="1">
      <c r="J911" s="69"/>
      <c r="N911" s="69"/>
      <c r="O911" s="69"/>
      <c r="P911" s="69"/>
    </row>
    <row r="912" ht="14.25" customHeight="1">
      <c r="J912" s="69"/>
      <c r="N912" s="69"/>
      <c r="O912" s="69"/>
      <c r="P912" s="69"/>
    </row>
    <row r="913" ht="14.25" customHeight="1">
      <c r="J913" s="69"/>
      <c r="N913" s="69"/>
      <c r="O913" s="69"/>
      <c r="P913" s="69"/>
    </row>
    <row r="914" ht="14.25" customHeight="1">
      <c r="J914" s="69"/>
      <c r="N914" s="69"/>
      <c r="O914" s="69"/>
      <c r="P914" s="69"/>
    </row>
    <row r="915" ht="14.25" customHeight="1">
      <c r="J915" s="69"/>
      <c r="N915" s="69"/>
      <c r="O915" s="69"/>
      <c r="P915" s="69"/>
    </row>
    <row r="916" ht="14.25" customHeight="1">
      <c r="J916" s="69"/>
      <c r="N916" s="69"/>
      <c r="O916" s="69"/>
      <c r="P916" s="69"/>
    </row>
    <row r="917" ht="14.25" customHeight="1">
      <c r="J917" s="69"/>
      <c r="N917" s="69"/>
      <c r="O917" s="69"/>
      <c r="P917" s="69"/>
    </row>
    <row r="918" ht="14.25" customHeight="1">
      <c r="J918" s="69"/>
      <c r="N918" s="69"/>
      <c r="O918" s="69"/>
      <c r="P918" s="69"/>
    </row>
    <row r="919" ht="14.25" customHeight="1">
      <c r="J919" s="69"/>
      <c r="N919" s="69"/>
      <c r="O919" s="69"/>
      <c r="P919" s="69"/>
    </row>
    <row r="920" ht="14.25" customHeight="1">
      <c r="J920" s="69"/>
      <c r="N920" s="69"/>
      <c r="O920" s="69"/>
      <c r="P920" s="69"/>
    </row>
    <row r="921" ht="14.25" customHeight="1">
      <c r="J921" s="69"/>
      <c r="N921" s="69"/>
      <c r="O921" s="69"/>
      <c r="P921" s="69"/>
    </row>
    <row r="922" ht="14.25" customHeight="1">
      <c r="J922" s="69"/>
      <c r="N922" s="69"/>
      <c r="O922" s="69"/>
      <c r="P922" s="69"/>
    </row>
    <row r="923" ht="14.25" customHeight="1">
      <c r="J923" s="69"/>
      <c r="N923" s="69"/>
      <c r="O923" s="69"/>
      <c r="P923" s="69"/>
    </row>
    <row r="924" ht="14.25" customHeight="1">
      <c r="J924" s="69"/>
      <c r="N924" s="69"/>
      <c r="O924" s="69"/>
      <c r="P924" s="69"/>
    </row>
    <row r="925" ht="14.25" customHeight="1">
      <c r="J925" s="69"/>
      <c r="N925" s="69"/>
      <c r="O925" s="69"/>
      <c r="P925" s="69"/>
    </row>
    <row r="926" ht="14.25" customHeight="1">
      <c r="J926" s="69"/>
      <c r="N926" s="69"/>
      <c r="O926" s="69"/>
      <c r="P926" s="69"/>
    </row>
    <row r="927" ht="14.25" customHeight="1">
      <c r="J927" s="69"/>
      <c r="N927" s="69"/>
      <c r="O927" s="69"/>
      <c r="P927" s="69"/>
    </row>
    <row r="928" ht="14.25" customHeight="1">
      <c r="J928" s="69"/>
      <c r="N928" s="69"/>
      <c r="O928" s="69"/>
      <c r="P928" s="69"/>
    </row>
    <row r="929" ht="14.25" customHeight="1">
      <c r="J929" s="69"/>
      <c r="N929" s="69"/>
      <c r="O929" s="69"/>
      <c r="P929" s="69"/>
    </row>
    <row r="930" ht="14.25" customHeight="1">
      <c r="J930" s="69"/>
      <c r="N930" s="69"/>
      <c r="O930" s="69"/>
      <c r="P930" s="69"/>
    </row>
    <row r="931" ht="14.25" customHeight="1">
      <c r="J931" s="69"/>
      <c r="N931" s="69"/>
      <c r="O931" s="69"/>
      <c r="P931" s="69"/>
    </row>
    <row r="932" ht="14.25" customHeight="1">
      <c r="J932" s="69"/>
      <c r="N932" s="69"/>
      <c r="O932" s="69"/>
      <c r="P932" s="69"/>
    </row>
    <row r="933" ht="14.25" customHeight="1">
      <c r="J933" s="69"/>
      <c r="N933" s="69"/>
      <c r="O933" s="69"/>
      <c r="P933" s="69"/>
    </row>
    <row r="934" ht="14.25" customHeight="1">
      <c r="J934" s="69"/>
      <c r="N934" s="69"/>
      <c r="O934" s="69"/>
      <c r="P934" s="69"/>
    </row>
    <row r="935" ht="14.25" customHeight="1">
      <c r="J935" s="69"/>
      <c r="N935" s="69"/>
      <c r="O935" s="69"/>
      <c r="P935" s="69"/>
    </row>
    <row r="936" ht="14.25" customHeight="1">
      <c r="J936" s="69"/>
      <c r="N936" s="69"/>
      <c r="O936" s="69"/>
      <c r="P936" s="69"/>
    </row>
    <row r="937" ht="14.25" customHeight="1">
      <c r="J937" s="69"/>
      <c r="N937" s="69"/>
      <c r="O937" s="69"/>
      <c r="P937" s="69"/>
    </row>
    <row r="938" ht="14.25" customHeight="1">
      <c r="J938" s="69"/>
      <c r="N938" s="69"/>
      <c r="O938" s="69"/>
      <c r="P938" s="69"/>
    </row>
    <row r="939" ht="14.25" customHeight="1">
      <c r="J939" s="69"/>
      <c r="N939" s="69"/>
      <c r="O939" s="69"/>
      <c r="P939" s="69"/>
    </row>
    <row r="940" ht="14.25" customHeight="1">
      <c r="J940" s="69"/>
      <c r="N940" s="69"/>
      <c r="O940" s="69"/>
      <c r="P940" s="69"/>
    </row>
    <row r="941" ht="14.25" customHeight="1">
      <c r="J941" s="69"/>
      <c r="N941" s="69"/>
      <c r="O941" s="69"/>
      <c r="P941" s="69"/>
    </row>
    <row r="942" ht="14.25" customHeight="1">
      <c r="J942" s="69"/>
      <c r="N942" s="69"/>
      <c r="O942" s="69"/>
      <c r="P942" s="69"/>
    </row>
    <row r="943" ht="14.25" customHeight="1">
      <c r="J943" s="69"/>
      <c r="N943" s="69"/>
      <c r="O943" s="69"/>
      <c r="P943" s="69"/>
    </row>
    <row r="944" ht="14.25" customHeight="1">
      <c r="J944" s="69"/>
      <c r="N944" s="69"/>
      <c r="O944" s="69"/>
      <c r="P944" s="69"/>
    </row>
    <row r="945" ht="14.25" customHeight="1">
      <c r="J945" s="69"/>
      <c r="N945" s="69"/>
      <c r="O945" s="69"/>
      <c r="P945" s="69"/>
    </row>
    <row r="946" ht="14.25" customHeight="1">
      <c r="J946" s="69"/>
      <c r="N946" s="69"/>
      <c r="O946" s="69"/>
      <c r="P946" s="69"/>
    </row>
    <row r="947" ht="14.25" customHeight="1">
      <c r="J947" s="69"/>
      <c r="N947" s="69"/>
      <c r="O947" s="69"/>
      <c r="P947" s="69"/>
    </row>
    <row r="948" ht="14.25" customHeight="1">
      <c r="J948" s="69"/>
      <c r="N948" s="69"/>
      <c r="O948" s="69"/>
      <c r="P948" s="69"/>
    </row>
    <row r="949" ht="14.25" customHeight="1">
      <c r="J949" s="69"/>
      <c r="N949" s="69"/>
      <c r="O949" s="69"/>
      <c r="P949" s="69"/>
    </row>
    <row r="950" ht="14.25" customHeight="1">
      <c r="J950" s="69"/>
      <c r="N950" s="69"/>
      <c r="O950" s="69"/>
      <c r="P950" s="69"/>
    </row>
    <row r="951" ht="14.25" customHeight="1">
      <c r="J951" s="69"/>
      <c r="N951" s="69"/>
      <c r="O951" s="69"/>
      <c r="P951" s="69"/>
    </row>
    <row r="952" ht="14.25" customHeight="1">
      <c r="J952" s="69"/>
      <c r="N952" s="69"/>
      <c r="O952" s="69"/>
      <c r="P952" s="69"/>
    </row>
    <row r="953" ht="14.25" customHeight="1">
      <c r="J953" s="69"/>
      <c r="N953" s="69"/>
      <c r="O953" s="69"/>
      <c r="P953" s="69"/>
    </row>
    <row r="954" ht="14.25" customHeight="1">
      <c r="J954" s="69"/>
      <c r="N954" s="69"/>
      <c r="O954" s="69"/>
      <c r="P954" s="69"/>
    </row>
    <row r="955" ht="14.25" customHeight="1">
      <c r="J955" s="69"/>
      <c r="N955" s="69"/>
      <c r="O955" s="69"/>
      <c r="P955" s="69"/>
    </row>
    <row r="956" ht="14.25" customHeight="1">
      <c r="J956" s="69"/>
      <c r="N956" s="69"/>
      <c r="O956" s="69"/>
      <c r="P956" s="69"/>
    </row>
    <row r="957" ht="14.25" customHeight="1">
      <c r="J957" s="69"/>
      <c r="N957" s="69"/>
      <c r="O957" s="69"/>
      <c r="P957" s="69"/>
    </row>
    <row r="958" ht="14.25" customHeight="1">
      <c r="J958" s="69"/>
      <c r="N958" s="69"/>
      <c r="O958" s="69"/>
      <c r="P958" s="69"/>
    </row>
    <row r="959" ht="14.25" customHeight="1">
      <c r="J959" s="69"/>
      <c r="N959" s="69"/>
      <c r="O959" s="69"/>
      <c r="P959" s="69"/>
    </row>
    <row r="960" ht="14.25" customHeight="1">
      <c r="J960" s="69"/>
      <c r="N960" s="69"/>
      <c r="O960" s="69"/>
      <c r="P960" s="69"/>
    </row>
    <row r="961" ht="14.25" customHeight="1">
      <c r="J961" s="69"/>
      <c r="N961" s="69"/>
      <c r="O961" s="69"/>
      <c r="P961" s="69"/>
    </row>
    <row r="962" ht="14.25" customHeight="1">
      <c r="J962" s="69"/>
      <c r="N962" s="69"/>
      <c r="O962" s="69"/>
      <c r="P962" s="69"/>
    </row>
    <row r="963" ht="14.25" customHeight="1">
      <c r="J963" s="69"/>
      <c r="N963" s="69"/>
      <c r="O963" s="69"/>
      <c r="P963" s="69"/>
    </row>
    <row r="964" ht="14.25" customHeight="1">
      <c r="J964" s="69"/>
      <c r="N964" s="69"/>
      <c r="O964" s="69"/>
      <c r="P964" s="69"/>
    </row>
    <row r="965" ht="14.25" customHeight="1">
      <c r="J965" s="69"/>
      <c r="N965" s="69"/>
      <c r="O965" s="69"/>
      <c r="P965" s="69"/>
    </row>
    <row r="966" ht="14.25" customHeight="1">
      <c r="J966" s="69"/>
      <c r="N966" s="69"/>
      <c r="O966" s="69"/>
      <c r="P966" s="69"/>
    </row>
    <row r="967" ht="14.25" customHeight="1">
      <c r="J967" s="69"/>
      <c r="N967" s="69"/>
      <c r="O967" s="69"/>
      <c r="P967" s="69"/>
    </row>
    <row r="968" ht="14.25" customHeight="1">
      <c r="J968" s="69"/>
      <c r="N968" s="69"/>
      <c r="O968" s="69"/>
      <c r="P968" s="69"/>
    </row>
    <row r="969" ht="14.25" customHeight="1">
      <c r="J969" s="69"/>
      <c r="N969" s="69"/>
      <c r="O969" s="69"/>
      <c r="P969" s="69"/>
    </row>
    <row r="970" ht="14.25" customHeight="1">
      <c r="J970" s="69"/>
      <c r="N970" s="69"/>
      <c r="O970" s="69"/>
      <c r="P970" s="69"/>
    </row>
    <row r="971" ht="14.25" customHeight="1">
      <c r="J971" s="69"/>
      <c r="N971" s="69"/>
      <c r="O971" s="69"/>
      <c r="P971" s="69"/>
    </row>
    <row r="972" ht="14.25" customHeight="1">
      <c r="J972" s="69"/>
      <c r="N972" s="69"/>
      <c r="O972" s="69"/>
      <c r="P972" s="69"/>
    </row>
    <row r="973" ht="14.25" customHeight="1">
      <c r="J973" s="69"/>
      <c r="N973" s="69"/>
      <c r="O973" s="69"/>
      <c r="P973" s="69"/>
    </row>
    <row r="974" ht="14.25" customHeight="1">
      <c r="J974" s="69"/>
      <c r="N974" s="69"/>
      <c r="O974" s="69"/>
      <c r="P974" s="69"/>
    </row>
    <row r="975" ht="14.25" customHeight="1">
      <c r="J975" s="69"/>
      <c r="N975" s="69"/>
      <c r="O975" s="69"/>
      <c r="P975" s="69"/>
    </row>
    <row r="976" ht="14.25" customHeight="1">
      <c r="J976" s="69"/>
      <c r="N976" s="69"/>
      <c r="O976" s="69"/>
      <c r="P976" s="69"/>
    </row>
    <row r="977" ht="14.25" customHeight="1">
      <c r="J977" s="69"/>
      <c r="N977" s="69"/>
      <c r="O977" s="69"/>
      <c r="P977" s="69"/>
    </row>
    <row r="978" ht="14.25" customHeight="1">
      <c r="J978" s="69"/>
      <c r="N978" s="69"/>
      <c r="O978" s="69"/>
      <c r="P978" s="69"/>
    </row>
    <row r="979" ht="14.25" customHeight="1">
      <c r="J979" s="69"/>
      <c r="N979" s="69"/>
      <c r="O979" s="69"/>
      <c r="P979" s="69"/>
    </row>
    <row r="980" ht="14.25" customHeight="1">
      <c r="J980" s="69"/>
      <c r="N980" s="69"/>
      <c r="O980" s="69"/>
      <c r="P980" s="69"/>
    </row>
    <row r="981" ht="14.25" customHeight="1">
      <c r="J981" s="69"/>
      <c r="N981" s="69"/>
      <c r="O981" s="69"/>
      <c r="P981" s="69"/>
    </row>
    <row r="982" ht="14.25" customHeight="1">
      <c r="J982" s="69"/>
      <c r="N982" s="69"/>
      <c r="O982" s="69"/>
      <c r="P982" s="69"/>
    </row>
    <row r="983" ht="14.25" customHeight="1">
      <c r="J983" s="69"/>
      <c r="N983" s="69"/>
      <c r="O983" s="69"/>
      <c r="P983" s="69"/>
    </row>
    <row r="984" ht="14.25" customHeight="1">
      <c r="J984" s="69"/>
      <c r="N984" s="69"/>
      <c r="O984" s="69"/>
      <c r="P984" s="69"/>
    </row>
    <row r="985" ht="14.25" customHeight="1">
      <c r="J985" s="69"/>
      <c r="N985" s="69"/>
      <c r="O985" s="69"/>
      <c r="P985" s="69"/>
    </row>
    <row r="986" ht="14.25" customHeight="1">
      <c r="J986" s="69"/>
      <c r="N986" s="69"/>
      <c r="O986" s="69"/>
      <c r="P986" s="69"/>
    </row>
    <row r="987" ht="14.25" customHeight="1">
      <c r="J987" s="69"/>
      <c r="N987" s="69"/>
      <c r="O987" s="69"/>
      <c r="P987" s="69"/>
    </row>
    <row r="988" ht="14.25" customHeight="1">
      <c r="J988" s="69"/>
      <c r="N988" s="69"/>
      <c r="O988" s="69"/>
      <c r="P988" s="69"/>
    </row>
    <row r="989" ht="14.25" customHeight="1">
      <c r="J989" s="69"/>
      <c r="N989" s="69"/>
      <c r="O989" s="69"/>
      <c r="P989" s="69"/>
    </row>
    <row r="990" ht="14.25" customHeight="1">
      <c r="J990" s="69"/>
      <c r="N990" s="69"/>
      <c r="O990" s="69"/>
      <c r="P990" s="69"/>
    </row>
    <row r="991" ht="14.25" customHeight="1">
      <c r="J991" s="69"/>
      <c r="N991" s="69"/>
      <c r="O991" s="69"/>
      <c r="P991" s="69"/>
    </row>
    <row r="992" ht="14.25" customHeight="1">
      <c r="J992" s="69"/>
      <c r="N992" s="69"/>
      <c r="O992" s="69"/>
      <c r="P992" s="69"/>
    </row>
    <row r="993" ht="14.25" customHeight="1">
      <c r="J993" s="69"/>
      <c r="N993" s="69"/>
      <c r="O993" s="69"/>
      <c r="P993" s="69"/>
    </row>
    <row r="994" ht="14.25" customHeight="1">
      <c r="J994" s="69"/>
      <c r="N994" s="69"/>
      <c r="O994" s="69"/>
      <c r="P994" s="69"/>
    </row>
    <row r="995" ht="14.25" customHeight="1">
      <c r="J995" s="69"/>
      <c r="N995" s="69"/>
      <c r="O995" s="69"/>
      <c r="P995" s="69"/>
    </row>
    <row r="996" ht="14.25" customHeight="1">
      <c r="J996" s="69"/>
      <c r="N996" s="69"/>
      <c r="O996" s="69"/>
      <c r="P996" s="69"/>
    </row>
    <row r="997" ht="14.25" customHeight="1">
      <c r="J997" s="69"/>
      <c r="N997" s="69"/>
      <c r="O997" s="69"/>
      <c r="P997" s="69"/>
    </row>
    <row r="998" ht="14.25" customHeight="1">
      <c r="J998" s="69"/>
      <c r="N998" s="69"/>
      <c r="O998" s="69"/>
      <c r="P998" s="69"/>
    </row>
  </sheetData>
  <hyperlinks>
    <hyperlink r:id="rId2" ref="B1"/>
    <hyperlink r:id="rId3" ref="M19"/>
    <hyperlink r:id="rId4" ref="G28"/>
    <hyperlink r:id="rId5" ref="G55"/>
    <hyperlink r:id="rId6" ref="M63"/>
    <hyperlink r:id="rId7" ref="M64"/>
    <hyperlink r:id="rId8" ref="M65"/>
    <hyperlink r:id="rId9" ref="M66"/>
    <hyperlink r:id="rId10" ref="M67"/>
    <hyperlink r:id="rId11" ref="M68"/>
    <hyperlink r:id="rId12" ref="M69"/>
    <hyperlink r:id="rId13" ref="M70"/>
    <hyperlink r:id="rId14" ref="M71"/>
    <hyperlink r:id="rId15" ref="M72"/>
    <hyperlink r:id="rId16" ref="M73"/>
    <hyperlink r:id="rId17" ref="M74"/>
  </hyperlinks>
  <printOptions/>
  <pageMargins bottom="0.7519685039370079" footer="0.0" header="0.0" left="0.7007874015748032" right="0.7007874015748032" top="0.7519685039370079"/>
  <pageSetup paperSize="9" orientation="portrait"/>
  <drawing r:id="rId18"/>
  <legacyDrawing r:id="rId1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7.0" topLeftCell="B8" activePane="bottomRight" state="frozen"/>
      <selection activeCell="B1" sqref="B1" pane="topRight"/>
      <selection activeCell="A8" sqref="A8" pane="bottomLeft"/>
      <selection activeCell="B8" sqref="B8" pane="bottomRight"/>
    </sheetView>
  </sheetViews>
  <sheetFormatPr customHeight="1" defaultColWidth="14.43" defaultRowHeight="15.0" outlineLevelRow="1"/>
  <cols>
    <col customWidth="1" min="1" max="2" width="58.14"/>
    <col customWidth="1" min="3" max="3" width="32.86"/>
    <col customWidth="1" hidden="1" min="4" max="4" width="13.29"/>
    <col customWidth="1" min="5" max="5" width="65.29"/>
    <col customWidth="1" min="6" max="6" width="40.43"/>
    <col customWidth="1" min="7" max="7" width="13.29"/>
    <col customWidth="1" min="8" max="8" width="23.29"/>
    <col customWidth="1" min="9" max="9" width="25.14"/>
    <col customWidth="1" min="10" max="11" width="43.29"/>
    <col customWidth="1" min="12" max="12" width="26.14"/>
    <col customWidth="1" min="13" max="13" width="32.29"/>
    <col customWidth="1" min="14" max="17" width="26.14"/>
    <col customWidth="1" min="18" max="18" width="29.14"/>
    <col customWidth="1" min="19" max="19" width="29.86"/>
    <col customWidth="1" min="20" max="26" width="26.14"/>
    <col customWidth="1" min="27" max="27" width="44.29"/>
    <col customWidth="1" min="28" max="43" width="8.71"/>
  </cols>
  <sheetData>
    <row r="1" ht="14.25" customHeight="1">
      <c r="A1" s="25" t="s">
        <v>41</v>
      </c>
      <c r="B1" s="74" t="str">
        <f>Classes!B1</f>
        <v>https://data.archives.haute-garonne.fr/modeles/sacsaproces</v>
      </c>
      <c r="C1" s="28"/>
      <c r="D1" s="29"/>
      <c r="E1" s="29"/>
      <c r="F1" s="75"/>
      <c r="G1" s="28"/>
      <c r="H1" s="1"/>
      <c r="I1" s="1"/>
      <c r="J1" s="26"/>
      <c r="K1" s="26"/>
      <c r="L1" s="26"/>
      <c r="M1" s="76"/>
      <c r="N1" s="76"/>
      <c r="O1" s="76"/>
      <c r="P1" s="76"/>
      <c r="Q1" s="1"/>
      <c r="R1" s="1"/>
      <c r="S1" s="1"/>
      <c r="T1" s="1"/>
      <c r="U1" s="1"/>
      <c r="V1" s="1"/>
      <c r="W1" s="1"/>
      <c r="X1" s="1"/>
      <c r="Y1" s="1"/>
      <c r="Z1" s="1"/>
      <c r="AA1" s="77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ht="14.25" customHeight="1">
      <c r="A2" s="26"/>
      <c r="B2" s="26"/>
      <c r="C2" s="28"/>
      <c r="D2" s="5"/>
      <c r="E2" s="29"/>
      <c r="F2" s="75"/>
      <c r="G2" s="28"/>
      <c r="H2" s="1"/>
      <c r="I2" s="1"/>
      <c r="J2" s="26"/>
      <c r="K2" s="26"/>
      <c r="L2" s="26"/>
      <c r="M2" s="76"/>
      <c r="N2" s="76"/>
      <c r="O2" s="76"/>
      <c r="P2" s="76"/>
      <c r="Q2" s="1"/>
      <c r="R2" s="1"/>
      <c r="S2" s="1"/>
      <c r="T2" s="1"/>
      <c r="U2" s="1"/>
      <c r="V2" s="1"/>
      <c r="W2" s="1"/>
      <c r="X2" s="1"/>
      <c r="Y2" s="1"/>
      <c r="Z2" s="1"/>
      <c r="AA2" s="77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ht="14.25" customHeight="1">
      <c r="A3" s="26"/>
      <c r="B3" s="26"/>
      <c r="C3" s="28"/>
      <c r="D3" s="5"/>
      <c r="E3" s="5"/>
      <c r="F3" s="75"/>
      <c r="G3" s="28"/>
      <c r="H3" s="1"/>
      <c r="I3" s="1"/>
      <c r="J3" s="26"/>
      <c r="K3" s="26"/>
      <c r="L3" s="26"/>
      <c r="M3" s="76"/>
      <c r="N3" s="76"/>
      <c r="O3" s="76"/>
      <c r="P3" s="76"/>
      <c r="Q3" s="1"/>
      <c r="R3" s="1"/>
      <c r="S3" s="1"/>
      <c r="T3" s="1"/>
      <c r="U3" s="1"/>
      <c r="V3" s="1"/>
      <c r="W3" s="1"/>
      <c r="X3" s="1"/>
      <c r="Y3" s="1"/>
      <c r="Z3" s="1"/>
      <c r="AA3" s="77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ht="14.25" customHeight="1">
      <c r="A4" s="26"/>
      <c r="B4" s="26"/>
      <c r="C4" s="28"/>
      <c r="D4" s="29"/>
      <c r="E4" s="29"/>
      <c r="F4" s="75"/>
      <c r="G4" s="28"/>
      <c r="H4" s="1"/>
      <c r="I4" s="1"/>
      <c r="J4" s="26"/>
      <c r="K4" s="26"/>
      <c r="L4" s="26"/>
      <c r="M4" s="76"/>
      <c r="N4" s="76"/>
      <c r="O4" s="76"/>
      <c r="P4" s="76"/>
      <c r="Q4" s="1"/>
      <c r="R4" s="1"/>
      <c r="S4" s="1"/>
      <c r="T4" s="1"/>
      <c r="U4" s="1"/>
      <c r="V4" s="1"/>
      <c r="W4" s="1"/>
      <c r="X4" s="1"/>
      <c r="Y4" s="1"/>
      <c r="Z4" s="1"/>
      <c r="AA4" s="77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ht="14.25" customHeight="1">
      <c r="A5" s="26"/>
      <c r="B5" s="26"/>
      <c r="C5" s="28"/>
      <c r="D5" s="1"/>
      <c r="E5" s="1"/>
      <c r="F5" s="76"/>
      <c r="G5" s="28"/>
      <c r="H5" s="1"/>
      <c r="I5" s="1"/>
      <c r="J5" s="26"/>
      <c r="K5" s="26"/>
      <c r="L5" s="26"/>
      <c r="M5" s="76"/>
      <c r="N5" s="76"/>
      <c r="O5" s="76"/>
      <c r="P5" s="76"/>
      <c r="Q5" s="1"/>
      <c r="R5" s="1"/>
      <c r="S5" s="1"/>
      <c r="T5" s="1"/>
      <c r="U5" s="1"/>
      <c r="V5" s="1"/>
      <c r="W5" s="1"/>
      <c r="X5" s="1"/>
      <c r="Y5" s="1"/>
      <c r="Z5" s="1"/>
      <c r="AA5" s="77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ht="14.25" customHeight="1">
      <c r="A6" s="78" t="s">
        <v>256</v>
      </c>
      <c r="B6" s="78" t="s">
        <v>257</v>
      </c>
      <c r="C6" s="79" t="s">
        <v>258</v>
      </c>
      <c r="D6" s="79" t="s">
        <v>259</v>
      </c>
      <c r="E6" s="80" t="s">
        <v>260</v>
      </c>
      <c r="F6" s="79" t="s">
        <v>261</v>
      </c>
      <c r="G6" s="79" t="s">
        <v>262</v>
      </c>
      <c r="H6" s="78" t="s">
        <v>263</v>
      </c>
      <c r="I6" s="78" t="s">
        <v>264</v>
      </c>
      <c r="J6" s="78" t="s">
        <v>265</v>
      </c>
      <c r="K6" s="78" t="s">
        <v>266</v>
      </c>
      <c r="L6" s="78" t="s">
        <v>267</v>
      </c>
      <c r="M6" s="79"/>
      <c r="N6" s="79" t="s">
        <v>268</v>
      </c>
      <c r="O6" s="79"/>
      <c r="P6" s="79" t="s">
        <v>269</v>
      </c>
      <c r="Q6" s="78" t="s">
        <v>270</v>
      </c>
      <c r="R6" s="78" t="s">
        <v>271</v>
      </c>
      <c r="S6" s="78"/>
      <c r="T6" s="78"/>
      <c r="U6" s="78"/>
      <c r="V6" s="78" t="s">
        <v>272</v>
      </c>
      <c r="W6" s="78"/>
      <c r="X6" s="78"/>
      <c r="Y6" s="78"/>
      <c r="Z6" s="78"/>
      <c r="AA6" s="81"/>
      <c r="AB6" s="78"/>
      <c r="AC6" s="78"/>
      <c r="AD6" s="78"/>
      <c r="AE6" s="78"/>
      <c r="AF6" s="78"/>
      <c r="AG6" s="78"/>
      <c r="AH6" s="78"/>
      <c r="AI6" s="78"/>
      <c r="AJ6" s="78"/>
      <c r="AK6" s="78"/>
      <c r="AL6" s="78"/>
    </row>
    <row r="7" ht="14.25" customHeight="1">
      <c r="A7" s="82" t="s">
        <v>52</v>
      </c>
      <c r="B7" s="83" t="s">
        <v>273</v>
      </c>
      <c r="C7" s="37" t="s">
        <v>274</v>
      </c>
      <c r="D7" s="37" t="s">
        <v>275</v>
      </c>
      <c r="E7" s="82" t="s">
        <v>276</v>
      </c>
      <c r="F7" s="37" t="s">
        <v>277</v>
      </c>
      <c r="G7" s="37" t="s">
        <v>278</v>
      </c>
      <c r="H7" s="82" t="s">
        <v>279</v>
      </c>
      <c r="I7" s="82" t="s">
        <v>280</v>
      </c>
      <c r="J7" s="82" t="s">
        <v>63</v>
      </c>
      <c r="K7" s="83" t="s">
        <v>281</v>
      </c>
      <c r="L7" s="38" t="s">
        <v>282</v>
      </c>
      <c r="M7" s="38" t="s">
        <v>283</v>
      </c>
      <c r="N7" s="37" t="s">
        <v>284</v>
      </c>
      <c r="O7" s="38" t="s">
        <v>285</v>
      </c>
      <c r="P7" s="37" t="s">
        <v>286</v>
      </c>
      <c r="Q7" s="82" t="s">
        <v>287</v>
      </c>
      <c r="R7" s="82" t="s">
        <v>288</v>
      </c>
      <c r="S7" s="83" t="s">
        <v>289</v>
      </c>
      <c r="T7" s="38" t="s">
        <v>290</v>
      </c>
      <c r="U7" s="38" t="s">
        <v>291</v>
      </c>
      <c r="V7" s="82" t="s">
        <v>292</v>
      </c>
      <c r="W7" s="82" t="s">
        <v>62</v>
      </c>
      <c r="X7" s="37" t="s">
        <v>293</v>
      </c>
      <c r="Y7" s="38" t="s">
        <v>294</v>
      </c>
      <c r="Z7" s="38" t="s">
        <v>295</v>
      </c>
      <c r="AA7" s="84" t="s">
        <v>70</v>
      </c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</row>
    <row r="8" ht="14.25" customHeight="1">
      <c r="A8" s="85" t="s">
        <v>296</v>
      </c>
      <c r="B8" s="55"/>
      <c r="C8" s="56"/>
      <c r="D8" s="55"/>
      <c r="E8" s="55"/>
      <c r="F8" s="56"/>
      <c r="G8" s="56"/>
      <c r="H8" s="56"/>
      <c r="I8" s="56"/>
      <c r="J8" s="55"/>
      <c r="K8" s="55"/>
      <c r="L8" s="55"/>
      <c r="M8" s="56"/>
      <c r="N8" s="56"/>
      <c r="O8" s="56"/>
      <c r="P8" s="56"/>
      <c r="Q8" s="55"/>
      <c r="R8" s="55"/>
      <c r="S8" s="55"/>
      <c r="T8" s="55"/>
      <c r="U8" s="55"/>
      <c r="V8" s="55"/>
      <c r="W8" s="55"/>
      <c r="X8" s="55"/>
      <c r="Y8" s="55"/>
      <c r="Z8" s="55"/>
      <c r="AA8" s="86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7"/>
      <c r="AQ8" s="87"/>
    </row>
    <row r="9" ht="14.25" customHeight="1" outlineLevel="1">
      <c r="A9" s="45" t="str">
        <f t="shared" ref="A9:A10" si="1">CONCATENATE("sacs:",RIGHT(C9,LEN(C9)-SEARCH(":",C9)),"_", RIGHT(B9,LEN(B9)-SEARCH(":", B9)) )</f>
        <v>sacs:Identifiant_name</v>
      </c>
      <c r="B9" s="57" t="s">
        <v>297</v>
      </c>
      <c r="C9" s="44" t="s">
        <v>72</v>
      </c>
      <c r="D9" s="45"/>
      <c r="E9" s="48" t="s">
        <v>298</v>
      </c>
      <c r="F9" s="54"/>
      <c r="G9" s="45"/>
      <c r="H9" s="67">
        <v>1.0</v>
      </c>
      <c r="I9" s="67">
        <v>1.0</v>
      </c>
      <c r="J9" s="47" t="s">
        <v>240</v>
      </c>
      <c r="K9" s="47" t="s">
        <v>299</v>
      </c>
      <c r="L9" s="57"/>
      <c r="M9" s="46" t="s">
        <v>237</v>
      </c>
      <c r="N9" s="45"/>
      <c r="O9" s="45"/>
      <c r="P9" s="45"/>
      <c r="Q9" s="88" t="s">
        <v>300</v>
      </c>
      <c r="R9" s="57" t="s">
        <v>301</v>
      </c>
      <c r="S9" s="45"/>
      <c r="T9" s="45"/>
      <c r="U9" s="45"/>
      <c r="V9" s="45"/>
      <c r="W9" s="45"/>
      <c r="X9" s="45"/>
      <c r="Y9" s="45"/>
      <c r="Z9" s="45"/>
      <c r="AA9" s="89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0"/>
      <c r="AQ9" s="90"/>
    </row>
    <row r="10" ht="14.25" customHeight="1" outlineLevel="1">
      <c r="A10" s="45" t="str">
        <f t="shared" si="1"/>
        <v>sacs:Identifiant_hasIdentifierType</v>
      </c>
      <c r="B10" s="57" t="s">
        <v>302</v>
      </c>
      <c r="C10" s="44" t="s">
        <v>72</v>
      </c>
      <c r="D10" s="45"/>
      <c r="E10" s="46" t="s">
        <v>303</v>
      </c>
      <c r="F10" s="91" t="s">
        <v>304</v>
      </c>
      <c r="G10" s="45"/>
      <c r="H10" s="67">
        <v>1.0</v>
      </c>
      <c r="I10" s="67">
        <v>1.0</v>
      </c>
      <c r="J10" s="47" t="s">
        <v>78</v>
      </c>
      <c r="K10" s="45"/>
      <c r="L10" s="57" t="s">
        <v>182</v>
      </c>
      <c r="M10" s="45"/>
      <c r="N10" s="45"/>
      <c r="O10" s="45"/>
      <c r="P10" s="45"/>
      <c r="Q10" s="45"/>
      <c r="R10" s="59" t="s">
        <v>305</v>
      </c>
      <c r="S10" s="45"/>
      <c r="T10" s="45"/>
      <c r="U10" s="45"/>
      <c r="V10" s="45"/>
      <c r="W10" s="45"/>
      <c r="X10" s="45"/>
      <c r="Y10" s="45"/>
      <c r="Z10" s="45"/>
      <c r="AA10" s="89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0"/>
      <c r="AQ10" s="90"/>
    </row>
    <row r="11" ht="14.25" customHeight="1" outlineLevel="1">
      <c r="A11" s="45"/>
      <c r="B11" s="45"/>
      <c r="C11" s="45"/>
      <c r="D11" s="45"/>
      <c r="E11" s="45"/>
      <c r="F11" s="54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89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0"/>
      <c r="AQ11" s="90"/>
    </row>
    <row r="12" ht="14.25" customHeight="1">
      <c r="A12" s="92" t="s">
        <v>83</v>
      </c>
      <c r="B12" s="55"/>
      <c r="C12" s="55"/>
      <c r="D12" s="55"/>
      <c r="E12" s="55"/>
      <c r="F12" s="56"/>
      <c r="G12" s="55"/>
      <c r="H12" s="56"/>
      <c r="I12" s="56"/>
      <c r="J12" s="55"/>
      <c r="K12" s="55"/>
      <c r="L12" s="55"/>
      <c r="M12" s="56"/>
      <c r="N12" s="56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86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7"/>
      <c r="AQ12" s="87"/>
    </row>
    <row r="13" ht="14.25" customHeight="1" outlineLevel="1">
      <c r="A13" s="45" t="str">
        <f t="shared" ref="A13:A14" si="2">CONCATENATE("sacs:",RIGHT(C13,LEN(C13)-SEARCH(":",C13)),"_", RIGHT(B13,LEN(B13)-SEARCH(":", B13)) )</f>
        <v>sacs:Date_normalizedDateValue</v>
      </c>
      <c r="B13" s="57" t="s">
        <v>306</v>
      </c>
      <c r="C13" s="46" t="s">
        <v>84</v>
      </c>
      <c r="D13" s="45"/>
      <c r="E13" s="48" t="s">
        <v>307</v>
      </c>
      <c r="F13" s="91" t="s">
        <v>308</v>
      </c>
      <c r="G13" s="45"/>
      <c r="H13" s="67"/>
      <c r="I13" s="67">
        <v>1.0</v>
      </c>
      <c r="J13" s="47" t="s">
        <v>240</v>
      </c>
      <c r="K13" s="53" t="s">
        <v>309</v>
      </c>
      <c r="L13" s="45"/>
      <c r="M13" s="70" t="s">
        <v>247</v>
      </c>
      <c r="N13" s="45"/>
      <c r="O13" s="45"/>
      <c r="P13" s="45"/>
      <c r="R13" s="59" t="s">
        <v>310</v>
      </c>
      <c r="S13" s="45"/>
      <c r="T13" s="45"/>
      <c r="U13" s="45"/>
      <c r="V13" s="45"/>
      <c r="W13" s="45"/>
      <c r="X13" s="45"/>
      <c r="Y13" s="45"/>
      <c r="Z13" s="45"/>
      <c r="AA13" s="89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0"/>
      <c r="AO13" s="90"/>
      <c r="AP13" s="90"/>
      <c r="AQ13" s="90"/>
    </row>
    <row r="14" ht="14.25" customHeight="1" outlineLevel="1">
      <c r="A14" s="45" t="str">
        <f t="shared" si="2"/>
        <v>sacs:Date_expressedDate</v>
      </c>
      <c r="B14" s="57" t="s">
        <v>311</v>
      </c>
      <c r="C14" s="46" t="s">
        <v>84</v>
      </c>
      <c r="D14" s="45"/>
      <c r="E14" s="48" t="s">
        <v>312</v>
      </c>
      <c r="F14" s="91" t="s">
        <v>313</v>
      </c>
      <c r="G14" s="45"/>
      <c r="H14" s="67">
        <v>1.0</v>
      </c>
      <c r="I14" s="67">
        <v>1.0</v>
      </c>
      <c r="J14" s="47" t="s">
        <v>240</v>
      </c>
      <c r="K14" s="53" t="s">
        <v>314</v>
      </c>
      <c r="L14" s="45"/>
      <c r="M14" s="46" t="s">
        <v>241</v>
      </c>
      <c r="N14" s="45"/>
      <c r="O14" s="45"/>
      <c r="P14" s="45"/>
      <c r="Q14" s="88" t="s">
        <v>300</v>
      </c>
      <c r="R14" s="57" t="s">
        <v>301</v>
      </c>
      <c r="S14" s="45"/>
      <c r="T14" s="45"/>
      <c r="U14" s="45"/>
      <c r="V14" s="45"/>
      <c r="W14" s="45"/>
      <c r="X14" s="45"/>
      <c r="Y14" s="45"/>
      <c r="Z14" s="45"/>
      <c r="AA14" s="89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0"/>
      <c r="AQ14" s="90"/>
    </row>
    <row r="15" ht="14.25" customHeight="1" outlineLevel="1">
      <c r="A15" s="45"/>
      <c r="B15" s="45"/>
      <c r="C15" s="45"/>
      <c r="D15" s="45"/>
      <c r="E15" s="45"/>
      <c r="F15" s="54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89"/>
      <c r="AB15" s="90"/>
      <c r="AC15" s="90"/>
      <c r="AD15" s="90"/>
      <c r="AE15" s="90"/>
      <c r="AF15" s="90"/>
      <c r="AG15" s="90"/>
      <c r="AH15" s="90"/>
      <c r="AI15" s="90"/>
      <c r="AJ15" s="90"/>
      <c r="AK15" s="90"/>
      <c r="AL15" s="90"/>
      <c r="AM15" s="90"/>
      <c r="AN15" s="90"/>
      <c r="AO15" s="90"/>
      <c r="AP15" s="90"/>
      <c r="AQ15" s="90"/>
    </row>
    <row r="16" ht="14.25" customHeight="1">
      <c r="A16" s="85" t="s">
        <v>95</v>
      </c>
      <c r="B16" s="55"/>
      <c r="C16" s="55"/>
      <c r="D16" s="55"/>
      <c r="E16" s="55"/>
      <c r="F16" s="56"/>
      <c r="G16" s="55"/>
      <c r="H16" s="56"/>
      <c r="I16" s="56"/>
      <c r="J16" s="55"/>
      <c r="K16" s="55"/>
      <c r="L16" s="55"/>
      <c r="M16" s="56"/>
      <c r="N16" s="56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86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87"/>
      <c r="AN16" s="87"/>
      <c r="AO16" s="87"/>
      <c r="AP16" s="87"/>
      <c r="AQ16" s="87"/>
    </row>
    <row r="17" ht="14.25" customHeight="1" outlineLevel="1">
      <c r="A17" s="93" t="str">
        <f t="shared" ref="A17:A24" si="3">CONCATENATE("sacs:",RIGHT(C17,LEN(C17)-SEARCH(":",C17)),"_", RIGHT(B17,LEN(B17)-SEARCH(":", B17)) )</f>
        <v>sacs:Notice_name</v>
      </c>
      <c r="B17" s="94" t="s">
        <v>297</v>
      </c>
      <c r="C17" s="95" t="s">
        <v>92</v>
      </c>
      <c r="D17" s="93"/>
      <c r="E17" s="94" t="s">
        <v>315</v>
      </c>
      <c r="F17" s="96" t="s">
        <v>316</v>
      </c>
      <c r="G17" s="93"/>
      <c r="H17" s="97">
        <v>1.0</v>
      </c>
      <c r="I17" s="97">
        <v>1.0</v>
      </c>
      <c r="J17" s="98" t="s">
        <v>240</v>
      </c>
      <c r="K17" s="99" t="s">
        <v>314</v>
      </c>
      <c r="L17" s="93"/>
      <c r="M17" s="46" t="s">
        <v>237</v>
      </c>
      <c r="N17" s="93"/>
      <c r="O17" s="93"/>
      <c r="P17" s="93"/>
      <c r="Q17" s="100" t="s">
        <v>300</v>
      </c>
      <c r="R17" s="100"/>
      <c r="S17" s="93"/>
      <c r="T17" s="93"/>
      <c r="U17" s="93"/>
      <c r="V17" s="93"/>
      <c r="W17" s="93"/>
      <c r="X17" s="93"/>
      <c r="Y17" s="93"/>
      <c r="Z17" s="93"/>
      <c r="AA17" s="101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02"/>
      <c r="AO17" s="102"/>
      <c r="AP17" s="102"/>
      <c r="AQ17" s="102"/>
    </row>
    <row r="18" ht="14.25" customHeight="1" outlineLevel="1">
      <c r="A18" s="45" t="str">
        <f t="shared" si="3"/>
        <v>sacs:Notice_generalDescription</v>
      </c>
      <c r="B18" s="57" t="s">
        <v>317</v>
      </c>
      <c r="C18" s="46" t="s">
        <v>92</v>
      </c>
      <c r="D18" s="45"/>
      <c r="E18" s="48" t="s">
        <v>318</v>
      </c>
      <c r="F18" s="91" t="s">
        <v>319</v>
      </c>
      <c r="G18" s="45"/>
      <c r="H18" s="67"/>
      <c r="I18" s="67">
        <v>1.0</v>
      </c>
      <c r="J18" s="47" t="s">
        <v>240</v>
      </c>
      <c r="K18" s="53" t="s">
        <v>314</v>
      </c>
      <c r="L18" s="45"/>
      <c r="M18" s="46" t="s">
        <v>241</v>
      </c>
      <c r="N18" s="45"/>
      <c r="O18" s="45"/>
      <c r="P18" s="45"/>
      <c r="R18" s="57" t="s">
        <v>301</v>
      </c>
      <c r="S18" s="45"/>
      <c r="T18" s="45"/>
      <c r="U18" s="45"/>
      <c r="V18" s="45"/>
      <c r="W18" s="45"/>
      <c r="X18" s="45"/>
      <c r="Y18" s="45"/>
      <c r="Z18" s="45"/>
      <c r="AA18" s="103"/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0"/>
      <c r="AM18" s="90"/>
      <c r="AN18" s="90"/>
      <c r="AO18" s="90"/>
      <c r="AP18" s="90"/>
      <c r="AQ18" s="90"/>
    </row>
    <row r="19" ht="14.25" customHeight="1" outlineLevel="1">
      <c r="A19" s="45" t="str">
        <f t="shared" si="3"/>
        <v>sacs:Notice_recordResourceExtent</v>
      </c>
      <c r="B19" s="57" t="s">
        <v>320</v>
      </c>
      <c r="C19" s="46" t="s">
        <v>92</v>
      </c>
      <c r="D19" s="45"/>
      <c r="E19" s="48" t="s">
        <v>321</v>
      </c>
      <c r="F19" s="91" t="s">
        <v>322</v>
      </c>
      <c r="G19" s="45"/>
      <c r="H19" s="67"/>
      <c r="I19" s="67">
        <v>1.0</v>
      </c>
      <c r="J19" s="47" t="s">
        <v>240</v>
      </c>
      <c r="K19" s="47" t="s">
        <v>323</v>
      </c>
      <c r="L19" s="45"/>
      <c r="M19" s="70" t="s">
        <v>244</v>
      </c>
      <c r="N19" s="45"/>
      <c r="O19" s="45"/>
      <c r="P19" s="45"/>
      <c r="Q19" s="45"/>
      <c r="R19" s="57" t="s">
        <v>301</v>
      </c>
      <c r="S19" s="45"/>
      <c r="T19" s="45"/>
      <c r="U19" s="45"/>
      <c r="V19" s="45"/>
      <c r="W19" s="45"/>
      <c r="X19" s="45"/>
      <c r="Y19" s="45"/>
      <c r="Z19" s="45"/>
      <c r="AA19" s="89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0"/>
      <c r="AO19" s="90"/>
      <c r="AP19" s="90"/>
      <c r="AQ19" s="90"/>
    </row>
    <row r="20" ht="14.25" customHeight="1" outlineLevel="1">
      <c r="A20" s="45" t="str">
        <f t="shared" si="3"/>
        <v>sacs:Notice_hasOrHadInstantiation</v>
      </c>
      <c r="B20" s="57" t="s">
        <v>324</v>
      </c>
      <c r="C20" s="46" t="s">
        <v>92</v>
      </c>
      <c r="D20" s="45"/>
      <c r="E20" s="50" t="s">
        <v>325</v>
      </c>
      <c r="F20" s="91" t="s">
        <v>326</v>
      </c>
      <c r="G20" s="45"/>
      <c r="H20" s="67">
        <v>1.0</v>
      </c>
      <c r="I20" s="67">
        <v>1.0</v>
      </c>
      <c r="J20" s="47" t="s">
        <v>78</v>
      </c>
      <c r="K20" s="45"/>
      <c r="L20" s="48"/>
      <c r="M20" s="48" t="s">
        <v>156</v>
      </c>
      <c r="N20" s="45"/>
      <c r="O20" s="45"/>
      <c r="P20" s="45"/>
      <c r="Q20" s="45"/>
      <c r="R20" s="59" t="s">
        <v>327</v>
      </c>
      <c r="S20" s="45"/>
      <c r="T20" s="45"/>
      <c r="U20" s="45"/>
      <c r="V20" s="45"/>
      <c r="W20" s="45"/>
      <c r="X20" s="45"/>
      <c r="Y20" s="45"/>
      <c r="Z20" s="45"/>
      <c r="AA20" s="89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90"/>
      <c r="AQ20" s="90"/>
    </row>
    <row r="21" ht="14.25" customHeight="1" outlineLevel="1">
      <c r="A21" s="45" t="str">
        <f t="shared" si="3"/>
        <v>sacs:Notice_documents</v>
      </c>
      <c r="B21" s="57" t="s">
        <v>328</v>
      </c>
      <c r="C21" s="46" t="s">
        <v>92</v>
      </c>
      <c r="D21" s="45"/>
      <c r="E21" s="46" t="s">
        <v>329</v>
      </c>
      <c r="F21" s="91" t="s">
        <v>330</v>
      </c>
      <c r="G21" s="45"/>
      <c r="H21" s="67">
        <v>1.0</v>
      </c>
      <c r="I21" s="67">
        <v>1.0</v>
      </c>
      <c r="J21" s="47" t="s">
        <v>78</v>
      </c>
      <c r="K21" s="45"/>
      <c r="L21" s="48"/>
      <c r="M21" s="48" t="s">
        <v>135</v>
      </c>
      <c r="N21" s="45"/>
      <c r="O21" s="45"/>
      <c r="P21" s="45"/>
      <c r="Q21" s="45"/>
      <c r="R21" s="57" t="s">
        <v>301</v>
      </c>
      <c r="S21" s="45"/>
      <c r="T21" s="45"/>
      <c r="U21" s="45"/>
      <c r="V21" s="45"/>
      <c r="W21" s="45"/>
      <c r="X21" s="45"/>
      <c r="Y21" s="45"/>
      <c r="Z21" s="45"/>
      <c r="AA21" s="89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0"/>
      <c r="AQ21" s="90"/>
    </row>
    <row r="22" ht="14.25" customHeight="1" outlineLevel="1">
      <c r="A22" s="45" t="str">
        <f t="shared" si="3"/>
        <v>sacs:Notice_hasOrHadIdentifier</v>
      </c>
      <c r="B22" s="48" t="s">
        <v>331</v>
      </c>
      <c r="C22" s="46" t="s">
        <v>92</v>
      </c>
      <c r="D22" s="57"/>
      <c r="E22" s="48" t="s">
        <v>332</v>
      </c>
      <c r="F22" s="49" t="s">
        <v>333</v>
      </c>
      <c r="G22" s="57"/>
      <c r="H22" s="67"/>
      <c r="I22" s="67">
        <v>1.0</v>
      </c>
      <c r="J22" s="47" t="s">
        <v>78</v>
      </c>
      <c r="K22" s="57"/>
      <c r="L22" s="48" t="s">
        <v>75</v>
      </c>
      <c r="M22" s="57"/>
      <c r="N22" s="57"/>
      <c r="O22" s="45"/>
      <c r="P22" s="45"/>
      <c r="Q22" s="45"/>
      <c r="R22" s="59" t="s">
        <v>334</v>
      </c>
      <c r="S22" s="45"/>
      <c r="T22" s="45"/>
      <c r="U22" s="45"/>
      <c r="V22" s="45"/>
      <c r="W22" s="45"/>
      <c r="X22" s="45"/>
      <c r="Y22" s="45"/>
      <c r="Z22" s="45"/>
      <c r="AA22" s="89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90"/>
      <c r="AQ22" s="90"/>
    </row>
    <row r="23" ht="14.25" customHeight="1" outlineLevel="1">
      <c r="A23" s="45" t="str">
        <f t="shared" si="3"/>
        <v>sacs:Notice_wasCreatedByAgentWithRole</v>
      </c>
      <c r="B23" s="46" t="s">
        <v>335</v>
      </c>
      <c r="C23" s="46" t="s">
        <v>92</v>
      </c>
      <c r="D23" s="45"/>
      <c r="E23" s="46" t="s">
        <v>336</v>
      </c>
      <c r="F23" s="49" t="s">
        <v>337</v>
      </c>
      <c r="G23" s="45"/>
      <c r="H23" s="45"/>
      <c r="I23" s="45"/>
      <c r="J23" s="47" t="s">
        <v>78</v>
      </c>
      <c r="K23" s="45"/>
      <c r="L23" s="48" t="s">
        <v>232</v>
      </c>
      <c r="M23" s="45"/>
      <c r="N23" s="45"/>
      <c r="O23" s="45"/>
      <c r="P23" s="45"/>
      <c r="Q23" s="45"/>
      <c r="R23" s="59" t="s">
        <v>305</v>
      </c>
      <c r="S23" s="45"/>
      <c r="T23" s="45"/>
      <c r="U23" s="45"/>
      <c r="V23" s="45"/>
      <c r="W23" s="45"/>
      <c r="X23" s="45"/>
      <c r="Y23" s="45"/>
      <c r="Z23" s="45"/>
      <c r="AA23" s="89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90"/>
      <c r="AP23" s="90"/>
      <c r="AQ23" s="90"/>
    </row>
    <row r="24" ht="14.25" customHeight="1" outlineLevel="1">
      <c r="A24" s="45" t="str">
        <f t="shared" si="3"/>
        <v>sacs:Notice_hasOrganicOrFunctionalProvenance</v>
      </c>
      <c r="B24" s="48" t="s">
        <v>338</v>
      </c>
      <c r="C24" s="46" t="s">
        <v>92</v>
      </c>
      <c r="D24" s="45"/>
      <c r="E24" s="46" t="s">
        <v>339</v>
      </c>
      <c r="F24" s="54"/>
      <c r="G24" s="45"/>
      <c r="H24" s="45"/>
      <c r="I24" s="45"/>
      <c r="J24" s="47" t="s">
        <v>78</v>
      </c>
      <c r="K24" s="45"/>
      <c r="L24" s="45"/>
      <c r="M24" s="48" t="s">
        <v>141</v>
      </c>
      <c r="N24" s="45"/>
      <c r="O24" s="45"/>
      <c r="P24" s="45"/>
      <c r="Q24" s="45"/>
      <c r="R24" s="59"/>
      <c r="S24" s="45"/>
      <c r="T24" s="45"/>
      <c r="U24" s="45"/>
      <c r="V24" s="45"/>
      <c r="W24" s="45"/>
      <c r="X24" s="45"/>
      <c r="Y24" s="45"/>
      <c r="Z24" s="45"/>
      <c r="AA24" s="89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0"/>
      <c r="AQ24" s="90"/>
    </row>
    <row r="25" ht="14.25" customHeight="1" outlineLevel="1">
      <c r="A25" s="45"/>
      <c r="B25" s="45"/>
      <c r="C25" s="45"/>
      <c r="D25" s="45"/>
      <c r="E25" s="45"/>
      <c r="F25" s="54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89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0"/>
      <c r="AQ25" s="90"/>
    </row>
    <row r="26" ht="14.25" customHeight="1">
      <c r="A26" s="92" t="s">
        <v>99</v>
      </c>
      <c r="B26" s="55"/>
      <c r="C26" s="55"/>
      <c r="D26" s="55"/>
      <c r="E26" s="55"/>
      <c r="F26" s="56"/>
      <c r="G26" s="55"/>
      <c r="H26" s="56"/>
      <c r="I26" s="56"/>
      <c r="J26" s="55"/>
      <c r="K26" s="55"/>
      <c r="L26" s="55"/>
      <c r="M26" s="56"/>
      <c r="N26" s="56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86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7"/>
      <c r="AQ26" s="87"/>
    </row>
    <row r="27" ht="14.25" customHeight="1" outlineLevel="1">
      <c r="A27" s="93" t="str">
        <f t="shared" ref="A27:A29" si="4">CONCATENATE("sacs:",RIGHT(C27,LEN(C27)-SEARCH(":",C27)),"_", RIGHT(B27,LEN(B27)-SEARCH(":", B27)) )</f>
        <v>sacs:Fait_name</v>
      </c>
      <c r="B27" s="104" t="s">
        <v>297</v>
      </c>
      <c r="C27" s="95" t="s">
        <v>100</v>
      </c>
      <c r="D27" s="104"/>
      <c r="E27" s="94" t="s">
        <v>315</v>
      </c>
      <c r="F27" s="96" t="s">
        <v>340</v>
      </c>
      <c r="G27" s="104"/>
      <c r="H27" s="97">
        <v>1.0</v>
      </c>
      <c r="I27" s="97">
        <v>1.0</v>
      </c>
      <c r="J27" s="98" t="s">
        <v>240</v>
      </c>
      <c r="K27" s="104" t="s">
        <v>314</v>
      </c>
      <c r="L27" s="104"/>
      <c r="M27" s="46" t="s">
        <v>237</v>
      </c>
      <c r="N27" s="93"/>
      <c r="O27" s="93"/>
      <c r="P27" s="93"/>
      <c r="Q27" s="100" t="s">
        <v>300</v>
      </c>
      <c r="R27" s="57" t="s">
        <v>301</v>
      </c>
      <c r="S27" s="93"/>
      <c r="T27" s="93"/>
      <c r="U27" s="93"/>
      <c r="V27" s="93"/>
      <c r="W27" s="93"/>
      <c r="X27" s="93"/>
      <c r="Y27" s="93"/>
      <c r="Z27" s="93"/>
      <c r="AA27" s="105"/>
      <c r="AB27" s="102"/>
      <c r="AC27" s="102"/>
      <c r="AD27" s="102"/>
      <c r="AE27" s="102"/>
      <c r="AF27" s="102"/>
      <c r="AG27" s="102"/>
      <c r="AH27" s="102"/>
      <c r="AI27" s="102"/>
      <c r="AJ27" s="102"/>
      <c r="AK27" s="102"/>
      <c r="AL27" s="102"/>
      <c r="AM27" s="102"/>
      <c r="AN27" s="102"/>
      <c r="AO27" s="102"/>
      <c r="AP27" s="102"/>
      <c r="AQ27" s="102"/>
    </row>
    <row r="28" ht="14.25" customHeight="1" outlineLevel="1">
      <c r="A28" s="45" t="str">
        <f t="shared" si="4"/>
        <v>sacs:Fait_hasEventType</v>
      </c>
      <c r="B28" s="57" t="s">
        <v>341</v>
      </c>
      <c r="C28" s="46" t="s">
        <v>100</v>
      </c>
      <c r="D28" s="57"/>
      <c r="E28" s="48" t="s">
        <v>342</v>
      </c>
      <c r="F28" s="49" t="s">
        <v>343</v>
      </c>
      <c r="G28" s="57"/>
      <c r="H28" s="67">
        <v>1.0</v>
      </c>
      <c r="I28" s="67"/>
      <c r="J28" s="47" t="s">
        <v>78</v>
      </c>
      <c r="K28" s="57"/>
      <c r="L28" s="48" t="s">
        <v>192</v>
      </c>
      <c r="M28" s="45"/>
      <c r="N28" s="45"/>
      <c r="O28" s="45"/>
      <c r="P28" s="45"/>
      <c r="Q28" s="59"/>
      <c r="R28" s="59" t="s">
        <v>305</v>
      </c>
      <c r="S28" s="45"/>
      <c r="T28" s="45"/>
      <c r="U28" s="45"/>
      <c r="V28" s="45"/>
      <c r="W28" s="45"/>
      <c r="X28" s="45"/>
      <c r="Y28" s="45"/>
      <c r="Z28" s="45"/>
      <c r="AA28" s="89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90"/>
      <c r="AQ28" s="90"/>
    </row>
    <row r="29" ht="14.25" customHeight="1" outlineLevel="1">
      <c r="A29" s="45" t="str">
        <f t="shared" si="4"/>
        <v>sacs:Fait_hasOrHadLocation</v>
      </c>
      <c r="B29" s="57" t="s">
        <v>344</v>
      </c>
      <c r="C29" s="46" t="s">
        <v>100</v>
      </c>
      <c r="D29" s="57"/>
      <c r="E29" s="48" t="s">
        <v>345</v>
      </c>
      <c r="F29" s="49" t="s">
        <v>346</v>
      </c>
      <c r="G29" s="57"/>
      <c r="H29" s="67">
        <v>0.0</v>
      </c>
      <c r="I29" s="67"/>
      <c r="J29" s="47" t="s">
        <v>78</v>
      </c>
      <c r="K29" s="57"/>
      <c r="L29" s="48" t="s">
        <v>130</v>
      </c>
      <c r="M29" s="45"/>
      <c r="N29" s="45"/>
      <c r="O29" s="45"/>
      <c r="P29" s="45"/>
      <c r="Q29" s="45"/>
      <c r="R29" s="59" t="s">
        <v>327</v>
      </c>
      <c r="S29" s="45"/>
      <c r="T29" s="45"/>
      <c r="U29" s="45"/>
      <c r="V29" s="45"/>
      <c r="W29" s="45"/>
      <c r="X29" s="45"/>
      <c r="Y29" s="45"/>
      <c r="Z29" s="45"/>
      <c r="AA29" s="89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0"/>
      <c r="AQ29" s="90"/>
    </row>
    <row r="30" ht="14.25" customHeight="1" outlineLevel="1">
      <c r="A30" s="45"/>
      <c r="B30" s="57"/>
      <c r="C30" s="46"/>
      <c r="D30" s="57"/>
      <c r="E30" s="57"/>
      <c r="F30" s="91"/>
      <c r="G30" s="57"/>
      <c r="H30" s="57"/>
      <c r="I30" s="57"/>
      <c r="J30" s="57"/>
      <c r="K30" s="57"/>
      <c r="L30" s="57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89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0"/>
      <c r="AQ30" s="90"/>
    </row>
    <row r="31" ht="14.25" customHeight="1" outlineLevel="1">
      <c r="A31" s="106" t="s">
        <v>347</v>
      </c>
      <c r="B31" s="106" t="s">
        <v>348</v>
      </c>
      <c r="C31" s="106" t="s">
        <v>100</v>
      </c>
      <c r="D31" s="106"/>
      <c r="E31" s="106" t="s">
        <v>349</v>
      </c>
      <c r="F31" s="106" t="s">
        <v>350</v>
      </c>
      <c r="G31" s="106"/>
      <c r="H31" s="106">
        <v>1.0</v>
      </c>
      <c r="I31" s="106"/>
      <c r="J31" s="106" t="s">
        <v>78</v>
      </c>
      <c r="K31" s="106"/>
      <c r="L31" s="106"/>
      <c r="M31" s="106" t="s">
        <v>135</v>
      </c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  <c r="AD31" s="106"/>
      <c r="AE31" s="106"/>
      <c r="AF31" s="106"/>
      <c r="AG31" s="106"/>
      <c r="AH31" s="106"/>
      <c r="AI31" s="106"/>
      <c r="AJ31" s="106"/>
      <c r="AK31" s="106"/>
      <c r="AL31" s="106"/>
      <c r="AM31" s="106"/>
      <c r="AN31" s="106"/>
      <c r="AO31" s="106"/>
      <c r="AP31" s="106"/>
      <c r="AQ31" s="106"/>
    </row>
    <row r="32" ht="14.25" customHeight="1" outlineLevel="1">
      <c r="A32" s="45"/>
      <c r="B32" s="57"/>
      <c r="C32" s="46"/>
      <c r="D32" s="57"/>
      <c r="E32" s="57"/>
      <c r="F32" s="91"/>
      <c r="G32" s="57"/>
      <c r="H32" s="57"/>
      <c r="I32" s="57"/>
      <c r="J32" s="57"/>
      <c r="K32" s="57"/>
      <c r="L32" s="57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89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0"/>
      <c r="AO32" s="90"/>
      <c r="AP32" s="90"/>
      <c r="AQ32" s="90"/>
    </row>
    <row r="33" ht="14.25" customHeight="1">
      <c r="A33" s="92" t="s">
        <v>108</v>
      </c>
      <c r="B33" s="55"/>
      <c r="C33" s="55"/>
      <c r="D33" s="55"/>
      <c r="E33" s="55"/>
      <c r="F33" s="56"/>
      <c r="G33" s="55"/>
      <c r="H33" s="56"/>
      <c r="I33" s="56"/>
      <c r="J33" s="55"/>
      <c r="K33" s="55"/>
      <c r="L33" s="55"/>
      <c r="M33" s="56"/>
      <c r="N33" s="56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86"/>
      <c r="AB33" s="87"/>
      <c r="AC33" s="87"/>
      <c r="AD33" s="87"/>
      <c r="AE33" s="87"/>
      <c r="AF33" s="87"/>
      <c r="AG33" s="87"/>
      <c r="AH33" s="87"/>
      <c r="AI33" s="87"/>
      <c r="AJ33" s="87"/>
      <c r="AK33" s="87"/>
      <c r="AL33" s="87"/>
      <c r="AM33" s="87"/>
      <c r="AN33" s="87"/>
      <c r="AO33" s="87"/>
      <c r="AP33" s="87"/>
      <c r="AQ33" s="87"/>
    </row>
    <row r="34" ht="14.25" customHeight="1" outlineLevel="1">
      <c r="A34" s="104" t="str">
        <f>CONCATENATE("sacs:",RIGHT(C34,LEN(C34)-SEARCH(":",C34)),"_", RIGHT(B34,LEN(B34)-SEARCH(":", B34)) )</f>
        <v>sacs:Instruction_name</v>
      </c>
      <c r="B34" s="104" t="s">
        <v>297</v>
      </c>
      <c r="C34" s="95" t="s">
        <v>109</v>
      </c>
      <c r="D34" s="104"/>
      <c r="E34" s="94" t="s">
        <v>315</v>
      </c>
      <c r="F34" s="96" t="s">
        <v>351</v>
      </c>
      <c r="G34" s="104"/>
      <c r="H34" s="97">
        <v>1.0</v>
      </c>
      <c r="I34" s="97">
        <v>1.0</v>
      </c>
      <c r="J34" s="98" t="s">
        <v>240</v>
      </c>
      <c r="K34" s="98" t="s">
        <v>314</v>
      </c>
      <c r="L34" s="104"/>
      <c r="M34" s="46" t="s">
        <v>237</v>
      </c>
      <c r="N34" s="93"/>
      <c r="O34" s="93"/>
      <c r="P34" s="93"/>
      <c r="Q34" s="100" t="s">
        <v>300</v>
      </c>
      <c r="R34" s="57" t="s">
        <v>301</v>
      </c>
      <c r="S34" s="93"/>
      <c r="T34" s="93"/>
      <c r="U34" s="93"/>
      <c r="V34" s="93"/>
      <c r="W34" s="93"/>
      <c r="X34" s="93"/>
      <c r="Y34" s="93"/>
      <c r="Z34" s="93"/>
      <c r="AA34" s="105"/>
      <c r="AB34" s="102"/>
      <c r="AC34" s="102"/>
      <c r="AD34" s="102"/>
      <c r="AE34" s="102"/>
      <c r="AF34" s="102"/>
      <c r="AG34" s="102"/>
      <c r="AH34" s="102"/>
      <c r="AI34" s="102"/>
      <c r="AJ34" s="102"/>
      <c r="AK34" s="102"/>
      <c r="AL34" s="102"/>
      <c r="AM34" s="102"/>
      <c r="AN34" s="102"/>
      <c r="AO34" s="102"/>
      <c r="AP34" s="102"/>
      <c r="AQ34" s="102"/>
    </row>
    <row r="35" ht="14.25" customHeight="1" outlineLevel="1">
      <c r="A35" s="46" t="s">
        <v>352</v>
      </c>
      <c r="B35" s="48" t="s">
        <v>353</v>
      </c>
      <c r="C35" s="46" t="s">
        <v>109</v>
      </c>
      <c r="D35" s="57"/>
      <c r="E35" s="46" t="s">
        <v>354</v>
      </c>
      <c r="F35" s="49" t="s">
        <v>355</v>
      </c>
      <c r="G35" s="57"/>
      <c r="H35" s="67"/>
      <c r="I35" s="67"/>
      <c r="J35" s="47" t="s">
        <v>78</v>
      </c>
      <c r="K35" s="57"/>
      <c r="L35" s="48"/>
      <c r="N35" s="57"/>
      <c r="O35" s="71"/>
      <c r="P35" s="45"/>
      <c r="Q35" s="59"/>
      <c r="R35" s="59"/>
      <c r="S35" s="107" t="s">
        <v>356</v>
      </c>
      <c r="T35" s="46">
        <v>1.0</v>
      </c>
      <c r="U35" s="46">
        <v>1.0</v>
      </c>
      <c r="V35" s="45"/>
      <c r="W35" s="45"/>
      <c r="X35" s="45"/>
      <c r="Y35" s="45"/>
      <c r="Z35" s="45"/>
      <c r="AA35" s="89"/>
      <c r="AB35" s="90"/>
      <c r="AC35" s="90"/>
      <c r="AD35" s="90"/>
      <c r="AE35" s="90"/>
      <c r="AF35" s="90"/>
      <c r="AG35" s="90"/>
      <c r="AH35" s="90"/>
      <c r="AI35" s="90"/>
      <c r="AJ35" s="90"/>
      <c r="AK35" s="90"/>
      <c r="AL35" s="90"/>
      <c r="AM35" s="90"/>
      <c r="AN35" s="90"/>
      <c r="AO35" s="90"/>
      <c r="AP35" s="90"/>
      <c r="AQ35" s="90"/>
    </row>
    <row r="36" ht="14.25" customHeight="1" outlineLevel="1">
      <c r="A36" s="46" t="s">
        <v>357</v>
      </c>
      <c r="B36" s="48" t="s">
        <v>353</v>
      </c>
      <c r="C36" s="46" t="s">
        <v>109</v>
      </c>
      <c r="D36" s="57"/>
      <c r="E36" s="46" t="s">
        <v>358</v>
      </c>
      <c r="F36" s="49" t="s">
        <v>359</v>
      </c>
      <c r="G36" s="57"/>
      <c r="H36" s="67"/>
      <c r="I36" s="67"/>
      <c r="J36" s="47" t="s">
        <v>78</v>
      </c>
      <c r="K36" s="57"/>
      <c r="L36" s="48"/>
      <c r="N36" s="57"/>
      <c r="O36" s="71"/>
      <c r="P36" s="45"/>
      <c r="Q36" s="59"/>
      <c r="R36" s="59" t="s">
        <v>305</v>
      </c>
      <c r="S36" s="107" t="s">
        <v>360</v>
      </c>
      <c r="T36" s="46">
        <v>1.0</v>
      </c>
      <c r="U36" s="46">
        <v>1.0</v>
      </c>
      <c r="V36" s="45"/>
      <c r="W36" s="45"/>
      <c r="X36" s="45"/>
      <c r="Y36" s="45"/>
      <c r="Z36" s="45"/>
      <c r="AA36" s="89"/>
      <c r="AB36" s="90"/>
      <c r="AC36" s="90"/>
      <c r="AD36" s="90"/>
      <c r="AE36" s="90"/>
      <c r="AF36" s="90"/>
      <c r="AG36" s="90"/>
      <c r="AH36" s="90"/>
      <c r="AI36" s="90"/>
      <c r="AJ36" s="90"/>
      <c r="AK36" s="90"/>
      <c r="AL36" s="90"/>
      <c r="AM36" s="90"/>
      <c r="AN36" s="90"/>
      <c r="AO36" s="90"/>
      <c r="AP36" s="90"/>
      <c r="AQ36" s="90"/>
    </row>
    <row r="37" ht="14.25" customHeight="1" outlineLevel="1">
      <c r="A37" s="45" t="str">
        <f t="shared" ref="A37:A39" si="5">CONCATENATE("sacs:",RIGHT(C37,LEN(C37)-SEARCH(":",C37)),"_", RIGHT(B37,LEN(B37)-SEARCH(":", B37)) )</f>
        <v>sacs:Instruction_followsInTime</v>
      </c>
      <c r="B37" s="48" t="s">
        <v>361</v>
      </c>
      <c r="C37" s="46" t="s">
        <v>109</v>
      </c>
      <c r="D37" s="57"/>
      <c r="E37" s="48" t="s">
        <v>362</v>
      </c>
      <c r="F37" s="49" t="s">
        <v>363</v>
      </c>
      <c r="G37" s="57"/>
      <c r="H37" s="67"/>
      <c r="I37" s="67">
        <v>1.0</v>
      </c>
      <c r="J37" s="47" t="s">
        <v>78</v>
      </c>
      <c r="K37" s="57"/>
      <c r="M37" s="48" t="s">
        <v>109</v>
      </c>
      <c r="N37" s="57"/>
      <c r="O37" s="45"/>
      <c r="P37" s="45"/>
      <c r="Q37" s="45"/>
      <c r="R37" s="59" t="s">
        <v>334</v>
      </c>
      <c r="S37" s="45"/>
      <c r="T37" s="45"/>
      <c r="U37" s="45"/>
      <c r="V37" s="45"/>
      <c r="W37" s="45"/>
      <c r="X37" s="45"/>
      <c r="Y37" s="45"/>
      <c r="Z37" s="45"/>
      <c r="AA37" s="89"/>
      <c r="AB37" s="90"/>
      <c r="AC37" s="90"/>
      <c r="AD37" s="90"/>
      <c r="AE37" s="90"/>
      <c r="AF37" s="90"/>
      <c r="AG37" s="90"/>
      <c r="AH37" s="90"/>
      <c r="AI37" s="90"/>
      <c r="AJ37" s="90"/>
      <c r="AK37" s="90"/>
      <c r="AL37" s="90"/>
      <c r="AM37" s="90"/>
      <c r="AN37" s="90"/>
      <c r="AO37" s="90"/>
      <c r="AP37" s="90"/>
      <c r="AQ37" s="90"/>
    </row>
    <row r="38" ht="14.25" customHeight="1" outlineLevel="1">
      <c r="A38" s="45" t="str">
        <f t="shared" si="5"/>
        <v>sacs:Instruction_precedesInTime</v>
      </c>
      <c r="B38" s="48" t="s">
        <v>364</v>
      </c>
      <c r="C38" s="46" t="s">
        <v>109</v>
      </c>
      <c r="D38" s="57"/>
      <c r="E38" s="48" t="s">
        <v>365</v>
      </c>
      <c r="F38" s="49" t="s">
        <v>366</v>
      </c>
      <c r="G38" s="57"/>
      <c r="H38" s="67"/>
      <c r="I38" s="67">
        <v>1.0</v>
      </c>
      <c r="J38" s="47" t="s">
        <v>78</v>
      </c>
      <c r="K38" s="57"/>
      <c r="L38" s="48"/>
      <c r="M38" s="48" t="s">
        <v>109</v>
      </c>
      <c r="N38" s="57"/>
      <c r="O38" s="45"/>
      <c r="P38" s="45"/>
      <c r="Q38" s="45"/>
      <c r="R38" s="59" t="s">
        <v>334</v>
      </c>
      <c r="S38" s="45"/>
      <c r="T38" s="45"/>
      <c r="U38" s="45"/>
      <c r="V38" s="45"/>
      <c r="W38" s="45"/>
      <c r="X38" s="45"/>
      <c r="Y38" s="45"/>
      <c r="Z38" s="45"/>
      <c r="AA38" s="89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0"/>
      <c r="AM38" s="90"/>
      <c r="AN38" s="90"/>
      <c r="AO38" s="90"/>
      <c r="AP38" s="90"/>
      <c r="AQ38" s="90"/>
    </row>
    <row r="39" ht="14.25" customHeight="1" outlineLevel="1">
      <c r="A39" s="45" t="str">
        <f t="shared" si="5"/>
        <v>sacs:Instruction_isOrWasPerformedBy</v>
      </c>
      <c r="B39" s="48" t="s">
        <v>367</v>
      </c>
      <c r="C39" s="48" t="s">
        <v>109</v>
      </c>
      <c r="D39" s="57"/>
      <c r="E39" s="48" t="s">
        <v>368</v>
      </c>
      <c r="F39" s="49" t="s">
        <v>369</v>
      </c>
      <c r="G39" s="57"/>
      <c r="H39" s="67">
        <v>1.0</v>
      </c>
      <c r="I39" s="67">
        <v>1.0</v>
      </c>
      <c r="J39" s="47" t="s">
        <v>78</v>
      </c>
      <c r="K39" s="57"/>
      <c r="M39" s="48" t="s">
        <v>114</v>
      </c>
      <c r="N39" s="57"/>
      <c r="P39" s="45"/>
      <c r="Q39" s="45"/>
      <c r="R39" s="59" t="s">
        <v>327</v>
      </c>
      <c r="S39" s="45"/>
      <c r="T39" s="45"/>
      <c r="U39" s="45"/>
      <c r="V39" s="45"/>
      <c r="W39" s="45"/>
      <c r="X39" s="45"/>
      <c r="Y39" s="45"/>
      <c r="Z39" s="45"/>
      <c r="AA39" s="89"/>
      <c r="AB39" s="90"/>
      <c r="AC39" s="90"/>
      <c r="AD39" s="90"/>
      <c r="AE39" s="90"/>
      <c r="AF39" s="90"/>
      <c r="AG39" s="90"/>
      <c r="AH39" s="90"/>
      <c r="AI39" s="90"/>
      <c r="AJ39" s="90"/>
      <c r="AK39" s="90"/>
      <c r="AL39" s="90"/>
      <c r="AM39" s="90"/>
      <c r="AN39" s="90"/>
      <c r="AO39" s="90"/>
      <c r="AP39" s="90"/>
      <c r="AQ39" s="90"/>
    </row>
    <row r="40" ht="14.25" customHeight="1" outlineLevel="1">
      <c r="A40" s="45"/>
      <c r="B40" s="45"/>
      <c r="C40" s="45"/>
      <c r="D40" s="45"/>
      <c r="E40" s="45"/>
      <c r="F40" s="54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89"/>
      <c r="AB40" s="90"/>
      <c r="AC40" s="90"/>
      <c r="AD40" s="90"/>
      <c r="AE40" s="90"/>
      <c r="AF40" s="90"/>
      <c r="AG40" s="90"/>
      <c r="AH40" s="90"/>
      <c r="AI40" s="90"/>
      <c r="AJ40" s="90"/>
      <c r="AK40" s="90"/>
      <c r="AL40" s="90"/>
      <c r="AM40" s="90"/>
      <c r="AN40" s="90"/>
      <c r="AO40" s="90"/>
      <c r="AP40" s="90"/>
      <c r="AQ40" s="90"/>
    </row>
    <row r="41" ht="14.25" customHeight="1" outlineLevel="1">
      <c r="A41" s="108" t="s">
        <v>370</v>
      </c>
      <c r="B41" s="109" t="s">
        <v>371</v>
      </c>
      <c r="C41" s="108" t="s">
        <v>109</v>
      </c>
      <c r="D41" s="110"/>
      <c r="E41" s="109" t="s">
        <v>372</v>
      </c>
      <c r="F41" s="111" t="s">
        <v>373</v>
      </c>
      <c r="G41" s="110"/>
      <c r="H41" s="112">
        <v>1.0</v>
      </c>
      <c r="I41" s="112">
        <v>1.0</v>
      </c>
      <c r="J41" s="113" t="s">
        <v>78</v>
      </c>
      <c r="K41" s="114"/>
      <c r="L41" s="109"/>
      <c r="M41" s="109" t="s">
        <v>135</v>
      </c>
      <c r="N41" s="110"/>
      <c r="O41" s="106"/>
      <c r="P41" s="106"/>
      <c r="Q41" s="106"/>
      <c r="R41" s="115"/>
      <c r="S41" s="106"/>
      <c r="T41" s="106"/>
      <c r="U41" s="106"/>
      <c r="V41" s="106"/>
      <c r="W41" s="106"/>
      <c r="X41" s="106"/>
      <c r="Y41" s="106"/>
      <c r="Z41" s="106"/>
      <c r="AA41" s="116"/>
      <c r="AB41" s="117"/>
      <c r="AC41" s="117"/>
      <c r="AD41" s="117"/>
      <c r="AE41" s="117"/>
      <c r="AF41" s="117"/>
      <c r="AG41" s="117"/>
      <c r="AH41" s="117"/>
      <c r="AI41" s="117"/>
      <c r="AJ41" s="117"/>
      <c r="AK41" s="117"/>
      <c r="AL41" s="117"/>
      <c r="AM41" s="117"/>
      <c r="AN41" s="117"/>
      <c r="AO41" s="117"/>
      <c r="AP41" s="117"/>
      <c r="AQ41" s="117"/>
    </row>
    <row r="42" ht="14.25" customHeight="1" outlineLevel="1">
      <c r="A42" s="45"/>
      <c r="B42" s="45"/>
      <c r="C42" s="45"/>
      <c r="D42" s="45"/>
      <c r="E42" s="45"/>
      <c r="F42" s="54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89"/>
      <c r="AB42" s="90"/>
      <c r="AC42" s="90"/>
      <c r="AD42" s="90"/>
      <c r="AE42" s="90"/>
      <c r="AF42" s="90"/>
      <c r="AG42" s="90"/>
      <c r="AH42" s="90"/>
      <c r="AI42" s="90"/>
      <c r="AJ42" s="90"/>
      <c r="AK42" s="90"/>
      <c r="AL42" s="90"/>
      <c r="AM42" s="90"/>
      <c r="AN42" s="90"/>
      <c r="AO42" s="90"/>
      <c r="AP42" s="90"/>
      <c r="AQ42" s="90"/>
    </row>
    <row r="43" ht="14.25" customHeight="1">
      <c r="A43" s="92" t="s">
        <v>113</v>
      </c>
      <c r="B43" s="55"/>
      <c r="C43" s="55"/>
      <c r="D43" s="55"/>
      <c r="E43" s="55"/>
      <c r="F43" s="56"/>
      <c r="G43" s="55"/>
      <c r="H43" s="56"/>
      <c r="I43" s="56"/>
      <c r="J43" s="55"/>
      <c r="K43" s="55"/>
      <c r="L43" s="55"/>
      <c r="M43" s="56"/>
      <c r="N43" s="56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86"/>
      <c r="AB43" s="87"/>
      <c r="AC43" s="87"/>
      <c r="AD43" s="87"/>
      <c r="AE43" s="87"/>
      <c r="AF43" s="87"/>
      <c r="AG43" s="87"/>
      <c r="AH43" s="87"/>
      <c r="AI43" s="87"/>
      <c r="AJ43" s="87"/>
      <c r="AK43" s="87"/>
      <c r="AL43" s="87"/>
      <c r="AM43" s="87"/>
      <c r="AN43" s="87"/>
      <c r="AO43" s="87"/>
      <c r="AP43" s="87"/>
      <c r="AQ43" s="87"/>
    </row>
    <row r="44" ht="14.25" customHeight="1" outlineLevel="1">
      <c r="A44" s="45" t="str">
        <f t="shared" ref="A44:A47" si="6">CONCATENATE("sacs:",RIGHT(C44,LEN(C44)-SEARCH(":",C44)),"_", RIGHT(B44,LEN(B44)-SEARCH(":", B44)) )</f>
        <v>sacs:Juridiction_name</v>
      </c>
      <c r="B44" s="48" t="s">
        <v>297</v>
      </c>
      <c r="C44" s="48" t="s">
        <v>114</v>
      </c>
      <c r="D44" s="57"/>
      <c r="E44" s="48" t="s">
        <v>374</v>
      </c>
      <c r="F44" s="49" t="s">
        <v>375</v>
      </c>
      <c r="G44" s="57"/>
      <c r="H44" s="67">
        <v>1.0</v>
      </c>
      <c r="I44" s="67">
        <v>1.0</v>
      </c>
      <c r="J44" s="47" t="s">
        <v>240</v>
      </c>
      <c r="K44" s="53" t="s">
        <v>314</v>
      </c>
      <c r="L44" s="57"/>
      <c r="M44" s="46" t="s">
        <v>237</v>
      </c>
      <c r="N44" s="57"/>
      <c r="O44" s="45"/>
      <c r="P44" s="45"/>
      <c r="Q44" s="88" t="s">
        <v>300</v>
      </c>
      <c r="R44" s="57" t="s">
        <v>301</v>
      </c>
      <c r="S44" s="45"/>
      <c r="T44" s="45"/>
      <c r="U44" s="45"/>
      <c r="V44" s="45"/>
      <c r="W44" s="45"/>
      <c r="X44" s="45"/>
      <c r="Y44" s="45"/>
      <c r="Z44" s="45"/>
      <c r="AA44" s="89"/>
      <c r="AB44" s="90"/>
      <c r="AC44" s="90"/>
      <c r="AD44" s="90"/>
      <c r="AE44" s="90"/>
      <c r="AF44" s="90"/>
      <c r="AG44" s="90"/>
      <c r="AH44" s="90"/>
      <c r="AI44" s="90"/>
      <c r="AJ44" s="90"/>
      <c r="AK44" s="90"/>
      <c r="AL44" s="90"/>
      <c r="AM44" s="90"/>
      <c r="AN44" s="90"/>
      <c r="AO44" s="90"/>
      <c r="AP44" s="90"/>
      <c r="AQ44" s="90"/>
    </row>
    <row r="45" ht="14.25" customHeight="1" outlineLevel="1">
      <c r="A45" s="45" t="str">
        <f t="shared" si="6"/>
        <v>sacs:Juridiction_hasOrHadLegalStatus</v>
      </c>
      <c r="B45" s="48" t="s">
        <v>376</v>
      </c>
      <c r="C45" s="48" t="s">
        <v>114</v>
      </c>
      <c r="D45" s="57"/>
      <c r="E45" s="48" t="s">
        <v>377</v>
      </c>
      <c r="F45" s="49" t="s">
        <v>378</v>
      </c>
      <c r="G45" s="57"/>
      <c r="H45" s="67">
        <v>1.0</v>
      </c>
      <c r="I45" s="67"/>
      <c r="J45" s="47" t="s">
        <v>78</v>
      </c>
      <c r="K45" s="57"/>
      <c r="L45" s="48" t="s">
        <v>177</v>
      </c>
      <c r="M45" s="57"/>
      <c r="N45" s="57"/>
      <c r="O45" s="45"/>
      <c r="P45" s="45"/>
      <c r="Q45" s="45"/>
      <c r="R45" s="59" t="s">
        <v>305</v>
      </c>
      <c r="S45" s="45"/>
      <c r="T45" s="45"/>
      <c r="U45" s="45"/>
      <c r="V45" s="45"/>
      <c r="W45" s="45"/>
      <c r="X45" s="45"/>
      <c r="Y45" s="45"/>
      <c r="Z45" s="45"/>
      <c r="AA45" s="89"/>
      <c r="AB45" s="90"/>
      <c r="AC45" s="90"/>
      <c r="AD45" s="90"/>
      <c r="AE45" s="90"/>
      <c r="AF45" s="90"/>
      <c r="AG45" s="90"/>
      <c r="AH45" s="90"/>
      <c r="AI45" s="90"/>
      <c r="AJ45" s="90"/>
      <c r="AK45" s="90"/>
      <c r="AL45" s="90"/>
      <c r="AM45" s="90"/>
      <c r="AN45" s="90"/>
      <c r="AO45" s="90"/>
      <c r="AP45" s="90"/>
      <c r="AQ45" s="90"/>
    </row>
    <row r="46" ht="14.25" customHeight="1" outlineLevel="1">
      <c r="A46" s="45" t="str">
        <f t="shared" si="6"/>
        <v>sacs:Juridiction_agentHasOrHadLocation</v>
      </c>
      <c r="B46" s="48" t="s">
        <v>379</v>
      </c>
      <c r="C46" s="48" t="s">
        <v>114</v>
      </c>
      <c r="D46" s="57"/>
      <c r="E46" s="118" t="s">
        <v>380</v>
      </c>
      <c r="F46" s="49" t="s">
        <v>381</v>
      </c>
      <c r="G46" s="57"/>
      <c r="H46" s="67">
        <v>1.0</v>
      </c>
      <c r="I46" s="67"/>
      <c r="J46" s="47" t="s">
        <v>78</v>
      </c>
      <c r="K46" s="57"/>
      <c r="L46" s="48" t="s">
        <v>130</v>
      </c>
      <c r="M46" s="57"/>
      <c r="N46" s="57"/>
      <c r="O46" s="45"/>
      <c r="P46" s="45"/>
      <c r="Q46" s="45"/>
      <c r="R46" s="59" t="s">
        <v>327</v>
      </c>
      <c r="S46" s="45"/>
      <c r="T46" s="45"/>
      <c r="U46" s="45"/>
      <c r="V46" s="45"/>
      <c r="W46" s="45"/>
      <c r="X46" s="45"/>
      <c r="Y46" s="45"/>
      <c r="Z46" s="45"/>
      <c r="AA46" s="89"/>
      <c r="AB46" s="90"/>
      <c r="AC46" s="90"/>
      <c r="AD46" s="90"/>
      <c r="AE46" s="90"/>
      <c r="AF46" s="90"/>
      <c r="AG46" s="90"/>
      <c r="AH46" s="90"/>
      <c r="AI46" s="90"/>
      <c r="AJ46" s="90"/>
      <c r="AK46" s="90"/>
      <c r="AL46" s="90"/>
      <c r="AM46" s="90"/>
      <c r="AN46" s="90"/>
      <c r="AO46" s="90"/>
      <c r="AP46" s="90"/>
      <c r="AQ46" s="90"/>
    </row>
    <row r="47" ht="14.25" customHeight="1" outlineLevel="1">
      <c r="A47" s="45" t="str">
        <f t="shared" si="6"/>
        <v>sacs:Juridiction_hasOrHadCorporateBodyType</v>
      </c>
      <c r="B47" s="48" t="s">
        <v>382</v>
      </c>
      <c r="C47" s="48" t="s">
        <v>114</v>
      </c>
      <c r="D47" s="45"/>
      <c r="E47" s="46" t="s">
        <v>383</v>
      </c>
      <c r="F47" s="49" t="s">
        <v>384</v>
      </c>
      <c r="G47" s="45"/>
      <c r="H47" s="46">
        <v>1.0</v>
      </c>
      <c r="I47" s="46">
        <v>1.0</v>
      </c>
      <c r="J47" s="47" t="s">
        <v>78</v>
      </c>
      <c r="K47" s="45"/>
      <c r="L47" s="48" t="s">
        <v>217</v>
      </c>
      <c r="M47" s="45"/>
      <c r="N47" s="45"/>
      <c r="O47" s="46" t="s">
        <v>385</v>
      </c>
      <c r="P47" s="45"/>
      <c r="Q47" s="45"/>
      <c r="R47" s="59" t="s">
        <v>305</v>
      </c>
      <c r="S47" s="45"/>
      <c r="T47" s="45"/>
      <c r="U47" s="45"/>
      <c r="V47" s="45"/>
      <c r="W47" s="45"/>
      <c r="X47" s="45"/>
      <c r="Y47" s="45"/>
      <c r="Z47" s="45"/>
      <c r="AA47" s="89"/>
      <c r="AB47" s="90"/>
      <c r="AC47" s="90"/>
      <c r="AD47" s="90"/>
      <c r="AE47" s="90"/>
      <c r="AF47" s="90"/>
      <c r="AG47" s="90"/>
      <c r="AH47" s="90"/>
      <c r="AI47" s="90"/>
      <c r="AJ47" s="90"/>
      <c r="AK47" s="90"/>
      <c r="AL47" s="90"/>
      <c r="AM47" s="90"/>
      <c r="AN47" s="90"/>
      <c r="AO47" s="90"/>
      <c r="AP47" s="90"/>
      <c r="AQ47" s="90"/>
    </row>
    <row r="48" ht="14.25" customHeight="1" outlineLevel="1">
      <c r="A48" s="45"/>
      <c r="B48" s="45"/>
      <c r="C48" s="45"/>
      <c r="D48" s="45"/>
      <c r="E48" s="45"/>
      <c r="F48" s="54"/>
      <c r="G48" s="45"/>
      <c r="H48" s="67"/>
      <c r="I48" s="67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89"/>
      <c r="AB48" s="90"/>
      <c r="AC48" s="90"/>
      <c r="AD48" s="90"/>
      <c r="AE48" s="90"/>
      <c r="AF48" s="90"/>
      <c r="AG48" s="90"/>
      <c r="AH48" s="90"/>
      <c r="AI48" s="90"/>
      <c r="AJ48" s="90"/>
      <c r="AK48" s="90"/>
      <c r="AL48" s="90"/>
      <c r="AM48" s="90"/>
      <c r="AN48" s="90"/>
      <c r="AO48" s="90"/>
      <c r="AP48" s="90"/>
      <c r="AQ48" s="90"/>
    </row>
    <row r="49" ht="14.25" customHeight="1" outlineLevel="1">
      <c r="A49" s="108" t="s">
        <v>386</v>
      </c>
      <c r="B49" s="109" t="s">
        <v>387</v>
      </c>
      <c r="C49" s="108" t="s">
        <v>114</v>
      </c>
      <c r="D49" s="110"/>
      <c r="E49" s="109" t="s">
        <v>388</v>
      </c>
      <c r="F49" s="111" t="s">
        <v>389</v>
      </c>
      <c r="G49" s="110"/>
      <c r="H49" s="112"/>
      <c r="I49" s="112"/>
      <c r="J49" s="113" t="s">
        <v>78</v>
      </c>
      <c r="K49" s="110"/>
      <c r="L49" s="114"/>
      <c r="M49" s="109" t="s">
        <v>109</v>
      </c>
      <c r="N49" s="110"/>
      <c r="O49" s="114"/>
      <c r="P49" s="106"/>
      <c r="Q49" s="106"/>
      <c r="R49" s="115"/>
      <c r="S49" s="106"/>
      <c r="T49" s="106"/>
      <c r="U49" s="106"/>
      <c r="V49" s="106"/>
      <c r="W49" s="106"/>
      <c r="X49" s="106"/>
      <c r="Y49" s="106"/>
      <c r="Z49" s="106"/>
      <c r="AA49" s="116"/>
      <c r="AB49" s="117"/>
      <c r="AC49" s="117"/>
      <c r="AD49" s="117"/>
      <c r="AE49" s="117"/>
      <c r="AF49" s="117"/>
      <c r="AG49" s="117"/>
      <c r="AH49" s="117"/>
      <c r="AI49" s="117"/>
      <c r="AJ49" s="117"/>
      <c r="AK49" s="117"/>
      <c r="AL49" s="117"/>
      <c r="AM49" s="117"/>
      <c r="AN49" s="117"/>
      <c r="AO49" s="117"/>
      <c r="AP49" s="117"/>
      <c r="AQ49" s="117"/>
    </row>
    <row r="50" ht="14.25" customHeight="1" outlineLevel="1">
      <c r="A50" s="108" t="s">
        <v>390</v>
      </c>
      <c r="B50" s="109" t="s">
        <v>391</v>
      </c>
      <c r="C50" s="108" t="s">
        <v>114</v>
      </c>
      <c r="D50" s="110"/>
      <c r="E50" s="109" t="s">
        <v>392</v>
      </c>
      <c r="F50" s="111" t="s">
        <v>393</v>
      </c>
      <c r="G50" s="110"/>
      <c r="H50" s="112"/>
      <c r="I50" s="112"/>
      <c r="J50" s="113" t="s">
        <v>78</v>
      </c>
      <c r="K50" s="110"/>
      <c r="L50" s="114"/>
      <c r="M50" s="109" t="s">
        <v>156</v>
      </c>
      <c r="N50" s="110"/>
      <c r="O50" s="114"/>
      <c r="P50" s="106"/>
      <c r="Q50" s="106"/>
      <c r="R50" s="115"/>
      <c r="S50" s="106"/>
      <c r="T50" s="106"/>
      <c r="U50" s="106"/>
      <c r="V50" s="106"/>
      <c r="W50" s="106"/>
      <c r="X50" s="106"/>
      <c r="Y50" s="106"/>
      <c r="Z50" s="106"/>
      <c r="AA50" s="116"/>
      <c r="AB50" s="117"/>
      <c r="AC50" s="117"/>
      <c r="AD50" s="117"/>
      <c r="AE50" s="117"/>
      <c r="AF50" s="117"/>
      <c r="AG50" s="117"/>
      <c r="AH50" s="117"/>
      <c r="AI50" s="117"/>
      <c r="AJ50" s="117"/>
      <c r="AK50" s="117"/>
      <c r="AL50" s="117"/>
      <c r="AM50" s="117"/>
      <c r="AN50" s="117"/>
      <c r="AO50" s="117"/>
      <c r="AP50" s="117"/>
      <c r="AQ50" s="117"/>
    </row>
    <row r="51" ht="14.25" customHeight="1" outlineLevel="1">
      <c r="A51" s="45"/>
      <c r="B51" s="45"/>
      <c r="C51" s="45"/>
      <c r="D51" s="45"/>
      <c r="E51" s="45"/>
      <c r="F51" s="54"/>
      <c r="G51" s="45"/>
      <c r="H51" s="67"/>
      <c r="I51" s="67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89"/>
      <c r="AB51" s="90"/>
      <c r="AC51" s="90"/>
      <c r="AD51" s="90"/>
      <c r="AE51" s="90"/>
      <c r="AF51" s="90"/>
      <c r="AG51" s="90"/>
      <c r="AH51" s="90"/>
      <c r="AI51" s="90"/>
      <c r="AJ51" s="90"/>
      <c r="AK51" s="90"/>
      <c r="AL51" s="90"/>
      <c r="AM51" s="90"/>
      <c r="AN51" s="90"/>
      <c r="AO51" s="90"/>
      <c r="AP51" s="90"/>
      <c r="AQ51" s="90"/>
    </row>
    <row r="52" ht="14.25" customHeight="1">
      <c r="A52" s="92" t="s">
        <v>120</v>
      </c>
      <c r="B52" s="55"/>
      <c r="C52" s="55"/>
      <c r="D52" s="55"/>
      <c r="E52" s="55"/>
      <c r="F52" s="56"/>
      <c r="G52" s="55"/>
      <c r="H52" s="56"/>
      <c r="I52" s="56"/>
      <c r="J52" s="55"/>
      <c r="K52" s="55"/>
      <c r="L52" s="55"/>
      <c r="M52" s="56"/>
      <c r="N52" s="56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86"/>
      <c r="AB52" s="87"/>
      <c r="AC52" s="87"/>
      <c r="AD52" s="87"/>
      <c r="AE52" s="87"/>
      <c r="AF52" s="87"/>
      <c r="AG52" s="87"/>
      <c r="AH52" s="87"/>
      <c r="AI52" s="87"/>
      <c r="AJ52" s="87"/>
      <c r="AK52" s="87"/>
      <c r="AL52" s="87"/>
      <c r="AM52" s="87"/>
      <c r="AN52" s="87"/>
      <c r="AO52" s="87"/>
      <c r="AP52" s="87"/>
      <c r="AQ52" s="87"/>
    </row>
    <row r="53" ht="14.25" customHeight="1" outlineLevel="1">
      <c r="A53" s="45" t="str">
        <f t="shared" ref="A53:A56" si="7">CONCATENATE("sacs:",RIGHT(C53,LEN(C53)-SEARCH(":",C53)),"_", RIGHT(B53,LEN(B53)-SEARCH(":", B53)) )</f>
        <v>sacs:Liasse_hasCarrierType</v>
      </c>
      <c r="B53" s="48" t="s">
        <v>394</v>
      </c>
      <c r="C53" s="48" t="s">
        <v>121</v>
      </c>
      <c r="D53" s="57"/>
      <c r="E53" s="46" t="s">
        <v>395</v>
      </c>
      <c r="F53" s="49" t="s">
        <v>396</v>
      </c>
      <c r="G53" s="57"/>
      <c r="H53" s="67">
        <v>1.0</v>
      </c>
      <c r="I53" s="67">
        <v>1.0</v>
      </c>
      <c r="J53" s="47" t="s">
        <v>78</v>
      </c>
      <c r="K53" s="47"/>
      <c r="L53" s="48" t="s">
        <v>207</v>
      </c>
      <c r="N53" s="45"/>
      <c r="O53" s="71" t="s">
        <v>397</v>
      </c>
      <c r="P53" s="45"/>
      <c r="Q53" s="45"/>
      <c r="R53" s="59"/>
      <c r="S53" s="45"/>
      <c r="T53" s="45"/>
      <c r="U53" s="45"/>
      <c r="V53" s="45"/>
      <c r="W53" s="45"/>
      <c r="X53" s="45"/>
      <c r="Y53" s="45"/>
      <c r="Z53" s="45"/>
      <c r="AA53" s="89"/>
      <c r="AB53" s="90"/>
      <c r="AC53" s="90"/>
      <c r="AD53" s="90"/>
      <c r="AE53" s="90"/>
      <c r="AF53" s="90"/>
      <c r="AG53" s="90"/>
      <c r="AH53" s="90"/>
      <c r="AI53" s="90"/>
      <c r="AJ53" s="90"/>
      <c r="AK53" s="90"/>
      <c r="AL53" s="90"/>
      <c r="AM53" s="90"/>
      <c r="AN53" s="90"/>
      <c r="AO53" s="90"/>
      <c r="AP53" s="90"/>
      <c r="AQ53" s="90"/>
    </row>
    <row r="54" ht="14.25" customHeight="1" outlineLevel="1">
      <c r="A54" s="45" t="str">
        <f t="shared" si="7"/>
        <v>sacs:Liasse_title</v>
      </c>
      <c r="B54" s="48" t="s">
        <v>398</v>
      </c>
      <c r="C54" s="48" t="s">
        <v>121</v>
      </c>
      <c r="D54" s="57"/>
      <c r="E54" s="48" t="s">
        <v>399</v>
      </c>
      <c r="F54" s="49" t="s">
        <v>400</v>
      </c>
      <c r="G54" s="57"/>
      <c r="H54" s="67">
        <v>1.0</v>
      </c>
      <c r="I54" s="67">
        <v>1.0</v>
      </c>
      <c r="J54" s="47" t="s">
        <v>240</v>
      </c>
      <c r="K54" s="53" t="s">
        <v>314</v>
      </c>
      <c r="L54" s="57"/>
      <c r="M54" s="46" t="s">
        <v>237</v>
      </c>
      <c r="N54" s="45"/>
      <c r="O54" s="45"/>
      <c r="P54" s="45"/>
      <c r="Q54" s="88" t="s">
        <v>300</v>
      </c>
      <c r="R54" s="57" t="s">
        <v>301</v>
      </c>
      <c r="S54" s="45"/>
      <c r="T54" s="45"/>
      <c r="U54" s="45"/>
      <c r="V54" s="45"/>
      <c r="W54" s="45"/>
      <c r="X54" s="45"/>
      <c r="Y54" s="45"/>
      <c r="Z54" s="45"/>
      <c r="AA54" s="89"/>
      <c r="AB54" s="90"/>
      <c r="AC54" s="90"/>
      <c r="AD54" s="90"/>
      <c r="AE54" s="90"/>
      <c r="AF54" s="90"/>
      <c r="AG54" s="90"/>
      <c r="AH54" s="90"/>
      <c r="AI54" s="90"/>
      <c r="AJ54" s="90"/>
      <c r="AK54" s="90"/>
      <c r="AL54" s="90"/>
      <c r="AM54" s="90"/>
      <c r="AN54" s="90"/>
      <c r="AO54" s="90"/>
      <c r="AP54" s="90"/>
      <c r="AQ54" s="90"/>
    </row>
    <row r="55" ht="14.25" customHeight="1" outlineLevel="1">
      <c r="A55" s="45" t="str">
        <f t="shared" si="7"/>
        <v>sacs:Liasse_hadComponent</v>
      </c>
      <c r="B55" s="48" t="s">
        <v>401</v>
      </c>
      <c r="C55" s="48" t="s">
        <v>121</v>
      </c>
      <c r="D55" s="57"/>
      <c r="E55" s="48" t="s">
        <v>402</v>
      </c>
      <c r="F55" s="49" t="s">
        <v>403</v>
      </c>
      <c r="G55" s="57"/>
      <c r="H55" s="67">
        <v>2.0</v>
      </c>
      <c r="I55" s="67"/>
      <c r="J55" s="47" t="s">
        <v>78</v>
      </c>
      <c r="K55" s="57"/>
      <c r="M55" s="48" t="s">
        <v>156</v>
      </c>
      <c r="N55" s="45"/>
      <c r="O55" s="45"/>
      <c r="P55" s="45"/>
      <c r="Q55" s="45"/>
      <c r="R55" s="59" t="s">
        <v>327</v>
      </c>
      <c r="S55" s="45"/>
      <c r="T55" s="45"/>
      <c r="U55" s="45"/>
      <c r="V55" s="45"/>
      <c r="W55" s="45"/>
      <c r="X55" s="45"/>
      <c r="Y55" s="45"/>
      <c r="Z55" s="45"/>
      <c r="AA55" s="89"/>
      <c r="AB55" s="90"/>
      <c r="AC55" s="90"/>
      <c r="AD55" s="90"/>
      <c r="AE55" s="90"/>
      <c r="AF55" s="90"/>
      <c r="AG55" s="90"/>
      <c r="AH55" s="90"/>
      <c r="AI55" s="90"/>
      <c r="AJ55" s="90"/>
      <c r="AK55" s="90"/>
      <c r="AL55" s="90"/>
      <c r="AM55" s="90"/>
      <c r="AN55" s="90"/>
      <c r="AO55" s="90"/>
      <c r="AP55" s="90"/>
      <c r="AQ55" s="90"/>
    </row>
    <row r="56" ht="14.25" customHeight="1" outlineLevel="1">
      <c r="A56" s="45" t="str">
        <f t="shared" si="7"/>
        <v>sacs:Liasse_physicalCharacteristicsNote</v>
      </c>
      <c r="B56" s="48" t="s">
        <v>404</v>
      </c>
      <c r="C56" s="48" t="s">
        <v>121</v>
      </c>
      <c r="D56" s="57"/>
      <c r="E56" s="48" t="s">
        <v>405</v>
      </c>
      <c r="F56" s="49" t="s">
        <v>406</v>
      </c>
      <c r="G56" s="57"/>
      <c r="H56" s="67"/>
      <c r="I56" s="67">
        <v>1.0</v>
      </c>
      <c r="J56" s="47" t="s">
        <v>240</v>
      </c>
      <c r="K56" s="53" t="s">
        <v>314</v>
      </c>
      <c r="L56" s="57"/>
      <c r="M56" s="46" t="s">
        <v>241</v>
      </c>
      <c r="N56" s="57"/>
      <c r="O56" s="45"/>
      <c r="P56" s="45"/>
      <c r="Q56" s="45"/>
      <c r="R56" s="57" t="s">
        <v>301</v>
      </c>
      <c r="S56" s="45"/>
      <c r="T56" s="45"/>
      <c r="U56" s="45"/>
      <c r="V56" s="45"/>
      <c r="W56" s="45"/>
      <c r="X56" s="45"/>
      <c r="Y56" s="45"/>
      <c r="Z56" s="45"/>
      <c r="AA56" s="89"/>
      <c r="AB56" s="90"/>
      <c r="AC56" s="90"/>
      <c r="AD56" s="90"/>
      <c r="AE56" s="90"/>
      <c r="AF56" s="90"/>
      <c r="AG56" s="90"/>
      <c r="AH56" s="90"/>
      <c r="AI56" s="90"/>
      <c r="AJ56" s="90"/>
      <c r="AK56" s="90"/>
      <c r="AL56" s="90"/>
      <c r="AM56" s="90"/>
      <c r="AN56" s="90"/>
      <c r="AO56" s="90"/>
      <c r="AP56" s="90"/>
      <c r="AQ56" s="90"/>
    </row>
    <row r="57" ht="14.25" customHeight="1" outlineLevel="1">
      <c r="A57" s="45"/>
      <c r="B57" s="45"/>
      <c r="C57" s="45"/>
      <c r="D57" s="45"/>
      <c r="E57" s="45"/>
      <c r="F57" s="54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89"/>
      <c r="AB57" s="90"/>
      <c r="AC57" s="90"/>
      <c r="AD57" s="90"/>
      <c r="AE57" s="90"/>
      <c r="AF57" s="90"/>
      <c r="AG57" s="90"/>
      <c r="AH57" s="90"/>
      <c r="AI57" s="90"/>
      <c r="AJ57" s="90"/>
      <c r="AK57" s="90"/>
      <c r="AL57" s="90"/>
      <c r="AM57" s="90"/>
      <c r="AN57" s="90"/>
      <c r="AO57" s="90"/>
      <c r="AP57" s="90"/>
      <c r="AQ57" s="90"/>
    </row>
    <row r="58" ht="14.25" customHeight="1">
      <c r="A58" s="92" t="s">
        <v>127</v>
      </c>
      <c r="B58" s="55"/>
      <c r="C58" s="55"/>
      <c r="D58" s="55"/>
      <c r="E58" s="55"/>
      <c r="F58" s="56"/>
      <c r="G58" s="55"/>
      <c r="H58" s="56"/>
      <c r="I58" s="56"/>
      <c r="J58" s="55"/>
      <c r="K58" s="55"/>
      <c r="L58" s="55"/>
      <c r="M58" s="56"/>
      <c r="N58" s="56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86"/>
      <c r="AB58" s="87"/>
      <c r="AC58" s="87"/>
      <c r="AD58" s="87"/>
      <c r="AE58" s="87"/>
      <c r="AF58" s="87"/>
      <c r="AG58" s="87"/>
      <c r="AH58" s="87"/>
      <c r="AI58" s="87"/>
      <c r="AJ58" s="87"/>
      <c r="AK58" s="87"/>
      <c r="AL58" s="87"/>
      <c r="AM58" s="87"/>
      <c r="AN58" s="87"/>
      <c r="AO58" s="87"/>
      <c r="AP58" s="87"/>
      <c r="AQ58" s="87"/>
    </row>
    <row r="59" ht="14.25" customHeight="1" outlineLevel="1">
      <c r="A59" s="45" t="str">
        <f t="shared" ref="A59:A64" si="8">CONCATENATE("sacs:",RIGHT(C59,LEN(C59)-SEARCH(":",C59)),"_", RIGHT(B59,LEN(B59)-SEARCH(":", B59)) )</f>
        <v>sacs:Lieu_name</v>
      </c>
      <c r="B59" s="57" t="s">
        <v>297</v>
      </c>
      <c r="C59" s="48" t="s">
        <v>128</v>
      </c>
      <c r="D59" s="57"/>
      <c r="E59" s="48" t="s">
        <v>374</v>
      </c>
      <c r="F59" s="49" t="s">
        <v>407</v>
      </c>
      <c r="G59" s="57"/>
      <c r="H59" s="67">
        <v>1.0</v>
      </c>
      <c r="I59" s="67">
        <v>1.0</v>
      </c>
      <c r="J59" s="47" t="s">
        <v>240</v>
      </c>
      <c r="K59" s="53" t="s">
        <v>314</v>
      </c>
      <c r="L59" s="57"/>
      <c r="M59" s="46" t="s">
        <v>237</v>
      </c>
      <c r="N59" s="57"/>
      <c r="O59" s="45"/>
      <c r="P59" s="45"/>
      <c r="Q59" s="88" t="s">
        <v>300</v>
      </c>
      <c r="R59" s="57" t="s">
        <v>301</v>
      </c>
      <c r="S59" s="45"/>
      <c r="T59" s="45"/>
      <c r="U59" s="45"/>
      <c r="V59" s="45"/>
      <c r="W59" s="45"/>
      <c r="X59" s="45"/>
      <c r="Y59" s="45"/>
      <c r="Z59" s="45"/>
      <c r="AA59" s="89"/>
      <c r="AB59" s="90"/>
      <c r="AC59" s="90"/>
      <c r="AD59" s="90"/>
      <c r="AE59" s="90"/>
      <c r="AF59" s="90"/>
      <c r="AG59" s="90"/>
      <c r="AH59" s="90"/>
      <c r="AI59" s="90"/>
      <c r="AJ59" s="90"/>
      <c r="AK59" s="90"/>
      <c r="AL59" s="90"/>
      <c r="AM59" s="90"/>
      <c r="AN59" s="90"/>
      <c r="AO59" s="90"/>
      <c r="AP59" s="90"/>
      <c r="AQ59" s="90"/>
    </row>
    <row r="60" ht="14.25" customHeight="1" outlineLevel="1">
      <c r="A60" s="45" t="str">
        <f t="shared" si="8"/>
        <v>sacs:Lieu_hasOrHadPlaceType</v>
      </c>
      <c r="B60" s="57" t="s">
        <v>408</v>
      </c>
      <c r="C60" s="48" t="s">
        <v>128</v>
      </c>
      <c r="D60" s="57"/>
      <c r="E60" s="48" t="s">
        <v>409</v>
      </c>
      <c r="F60" s="49" t="s">
        <v>410</v>
      </c>
      <c r="G60" s="57"/>
      <c r="H60" s="67">
        <v>1.0</v>
      </c>
      <c r="I60" s="67">
        <v>1.0</v>
      </c>
      <c r="J60" s="47" t="s">
        <v>78</v>
      </c>
      <c r="K60" s="57"/>
      <c r="L60" s="48" t="s">
        <v>187</v>
      </c>
      <c r="M60" s="57"/>
      <c r="N60" s="57"/>
      <c r="O60" s="45"/>
      <c r="P60" s="45"/>
      <c r="Q60" s="45"/>
      <c r="R60" s="59" t="s">
        <v>305</v>
      </c>
      <c r="S60" s="45"/>
      <c r="T60" s="45"/>
      <c r="U60" s="45"/>
      <c r="V60" s="45"/>
      <c r="W60" s="45"/>
      <c r="X60" s="45"/>
      <c r="Y60" s="45"/>
      <c r="Z60" s="45"/>
      <c r="AA60" s="89"/>
      <c r="AB60" s="90"/>
      <c r="AC60" s="90"/>
      <c r="AD60" s="90"/>
      <c r="AE60" s="90"/>
      <c r="AF60" s="90"/>
      <c r="AG60" s="90"/>
      <c r="AH60" s="90"/>
      <c r="AI60" s="90"/>
      <c r="AJ60" s="90"/>
      <c r="AK60" s="90"/>
      <c r="AL60" s="90"/>
      <c r="AM60" s="90"/>
      <c r="AN60" s="90"/>
      <c r="AO60" s="90"/>
      <c r="AP60" s="90"/>
      <c r="AQ60" s="90"/>
    </row>
    <row r="61" ht="14.25" customHeight="1" outlineLevel="1">
      <c r="A61" s="45" t="str">
        <f t="shared" si="8"/>
        <v>sacs:Lieu_isDirectlyContainedBy</v>
      </c>
      <c r="B61" s="48" t="s">
        <v>411</v>
      </c>
      <c r="C61" s="48" t="s">
        <v>128</v>
      </c>
      <c r="D61" s="57"/>
      <c r="E61" s="119" t="s">
        <v>412</v>
      </c>
      <c r="F61" s="49" t="s">
        <v>413</v>
      </c>
      <c r="G61" s="57"/>
      <c r="H61" s="67"/>
      <c r="I61" s="67">
        <v>1.0</v>
      </c>
      <c r="J61" s="47" t="s">
        <v>78</v>
      </c>
      <c r="K61" s="57"/>
      <c r="L61" s="48" t="s">
        <v>130</v>
      </c>
      <c r="M61" s="57"/>
      <c r="N61" s="57"/>
      <c r="O61" s="45"/>
      <c r="P61" s="45"/>
      <c r="Q61" s="45"/>
      <c r="R61" s="59" t="s">
        <v>327</v>
      </c>
      <c r="S61" s="45"/>
      <c r="T61" s="45"/>
      <c r="U61" s="45"/>
      <c r="V61" s="45"/>
      <c r="W61" s="45"/>
      <c r="X61" s="45"/>
      <c r="Y61" s="45"/>
      <c r="Z61" s="45"/>
      <c r="AA61" s="89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</row>
    <row r="62" ht="14.25" customHeight="1" outlineLevel="1">
      <c r="A62" s="45" t="str">
        <f t="shared" si="8"/>
        <v>sacs:Lieu_directlyContains</v>
      </c>
      <c r="B62" s="48" t="s">
        <v>414</v>
      </c>
      <c r="C62" s="48" t="s">
        <v>128</v>
      </c>
      <c r="D62" s="57"/>
      <c r="E62" s="119" t="s">
        <v>415</v>
      </c>
      <c r="F62" s="49" t="s">
        <v>416</v>
      </c>
      <c r="G62" s="57"/>
      <c r="H62" s="67"/>
      <c r="I62" s="67"/>
      <c r="J62" s="47" t="s">
        <v>78</v>
      </c>
      <c r="K62" s="57"/>
      <c r="L62" s="48" t="s">
        <v>130</v>
      </c>
      <c r="M62" s="57"/>
      <c r="N62" s="57"/>
      <c r="O62" s="45"/>
      <c r="P62" s="45"/>
      <c r="Q62" s="45"/>
      <c r="R62" s="59" t="s">
        <v>327</v>
      </c>
      <c r="S62" s="45"/>
      <c r="T62" s="45"/>
      <c r="U62" s="45"/>
      <c r="V62" s="45"/>
      <c r="W62" s="45"/>
      <c r="X62" s="45"/>
      <c r="Y62" s="45"/>
      <c r="Z62" s="45"/>
      <c r="AA62" s="89"/>
      <c r="AB62" s="90"/>
      <c r="AC62" s="90"/>
      <c r="AD62" s="90"/>
      <c r="AE62" s="90"/>
      <c r="AF62" s="90"/>
      <c r="AG62" s="90"/>
      <c r="AH62" s="90"/>
      <c r="AI62" s="90"/>
      <c r="AJ62" s="90"/>
      <c r="AK62" s="90"/>
      <c r="AL62" s="90"/>
      <c r="AM62" s="90"/>
      <c r="AN62" s="90"/>
      <c r="AO62" s="90"/>
      <c r="AP62" s="90"/>
      <c r="AQ62" s="90"/>
    </row>
    <row r="63" ht="14.25" customHeight="1" outlineLevel="1">
      <c r="A63" s="45" t="str">
        <f t="shared" si="8"/>
        <v>sacs:Lieu_hasOrHadIdentifier</v>
      </c>
      <c r="B63" s="48" t="s">
        <v>331</v>
      </c>
      <c r="C63" s="48" t="s">
        <v>128</v>
      </c>
      <c r="D63" s="57"/>
      <c r="E63" s="48" t="s">
        <v>417</v>
      </c>
      <c r="F63" s="49" t="s">
        <v>418</v>
      </c>
      <c r="G63" s="48"/>
      <c r="H63" s="48">
        <v>0.0</v>
      </c>
      <c r="I63" s="48">
        <v>1.0</v>
      </c>
      <c r="J63" s="47" t="s">
        <v>78</v>
      </c>
      <c r="K63" s="57"/>
      <c r="L63" s="48" t="s">
        <v>75</v>
      </c>
      <c r="M63" s="57"/>
      <c r="N63" s="57"/>
      <c r="O63" s="45"/>
      <c r="P63" s="45"/>
      <c r="Q63" s="45"/>
      <c r="R63" s="59" t="s">
        <v>334</v>
      </c>
      <c r="S63" s="45"/>
      <c r="T63" s="45"/>
      <c r="U63" s="45"/>
      <c r="V63" s="45"/>
      <c r="W63" s="45"/>
      <c r="X63" s="45"/>
      <c r="Y63" s="45"/>
      <c r="Z63" s="45"/>
      <c r="AA63" s="89"/>
      <c r="AB63" s="90"/>
      <c r="AC63" s="90"/>
      <c r="AD63" s="90"/>
      <c r="AE63" s="90"/>
      <c r="AF63" s="90"/>
      <c r="AG63" s="90"/>
      <c r="AH63" s="90"/>
      <c r="AI63" s="90"/>
      <c r="AJ63" s="90"/>
      <c r="AK63" s="90"/>
      <c r="AL63" s="90"/>
      <c r="AM63" s="90"/>
      <c r="AN63" s="90"/>
      <c r="AO63" s="90"/>
      <c r="AP63" s="90"/>
      <c r="AQ63" s="90"/>
    </row>
    <row r="64" ht="14.25" customHeight="1" outlineLevel="1">
      <c r="A64" s="45" t="str">
        <f t="shared" si="8"/>
        <v>sacs:Lieu_geographicalCoordinates</v>
      </c>
      <c r="B64" s="120" t="s">
        <v>419</v>
      </c>
      <c r="C64" s="48" t="s">
        <v>128</v>
      </c>
      <c r="D64" s="45"/>
      <c r="E64" s="48" t="s">
        <v>420</v>
      </c>
      <c r="F64" s="49" t="s">
        <v>421</v>
      </c>
      <c r="G64" s="45"/>
      <c r="H64" s="67">
        <v>0.0</v>
      </c>
      <c r="I64" s="67">
        <v>1.0</v>
      </c>
      <c r="J64" s="47" t="s">
        <v>240</v>
      </c>
      <c r="K64" s="46" t="s">
        <v>422</v>
      </c>
      <c r="L64" s="48"/>
      <c r="M64" s="70" t="s">
        <v>249</v>
      </c>
      <c r="N64" s="45"/>
      <c r="O64" s="45"/>
      <c r="P64" s="45"/>
      <c r="Q64" s="45"/>
      <c r="R64" s="46" t="s">
        <v>423</v>
      </c>
      <c r="S64" s="45"/>
      <c r="T64" s="45"/>
      <c r="U64" s="45"/>
      <c r="V64" s="45"/>
      <c r="W64" s="45"/>
      <c r="X64" s="45"/>
      <c r="Y64" s="45"/>
      <c r="Z64" s="45"/>
      <c r="AA64" s="89"/>
      <c r="AB64" s="90"/>
      <c r="AC64" s="90"/>
      <c r="AD64" s="90"/>
      <c r="AE64" s="90"/>
      <c r="AF64" s="90"/>
      <c r="AG64" s="90"/>
      <c r="AH64" s="90"/>
      <c r="AI64" s="90"/>
      <c r="AJ64" s="90"/>
      <c r="AK64" s="90"/>
      <c r="AL64" s="90"/>
      <c r="AM64" s="90"/>
      <c r="AN64" s="90"/>
      <c r="AO64" s="90"/>
      <c r="AP64" s="90"/>
      <c r="AQ64" s="90"/>
    </row>
    <row r="65" ht="14.25" customHeight="1" outlineLevel="1">
      <c r="A65" s="45"/>
      <c r="B65" s="45"/>
      <c r="C65" s="45"/>
      <c r="D65" s="45"/>
      <c r="E65" s="45"/>
      <c r="F65" s="54"/>
      <c r="G65" s="45"/>
      <c r="H65" s="67"/>
      <c r="I65" s="67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89"/>
      <c r="AB65" s="90"/>
      <c r="AC65" s="90"/>
      <c r="AD65" s="90"/>
      <c r="AE65" s="90"/>
      <c r="AF65" s="90"/>
      <c r="AG65" s="90"/>
      <c r="AH65" s="90"/>
      <c r="AI65" s="90"/>
      <c r="AJ65" s="90"/>
      <c r="AK65" s="90"/>
      <c r="AL65" s="90"/>
      <c r="AM65" s="90"/>
      <c r="AN65" s="90"/>
      <c r="AO65" s="90"/>
      <c r="AP65" s="90"/>
      <c r="AQ65" s="90"/>
    </row>
    <row r="66" ht="14.25" customHeight="1" outlineLevel="1">
      <c r="A66" s="108" t="s">
        <v>424</v>
      </c>
      <c r="B66" s="109" t="s">
        <v>425</v>
      </c>
      <c r="C66" s="108" t="s">
        <v>128</v>
      </c>
      <c r="D66" s="110"/>
      <c r="E66" s="109" t="s">
        <v>426</v>
      </c>
      <c r="F66" s="111"/>
      <c r="G66" s="110"/>
      <c r="H66" s="112"/>
      <c r="I66" s="112"/>
      <c r="J66" s="113" t="s">
        <v>78</v>
      </c>
      <c r="K66" s="110"/>
      <c r="L66" s="108" t="s">
        <v>102</v>
      </c>
      <c r="M66" s="108"/>
      <c r="N66" s="106"/>
      <c r="O66" s="106"/>
      <c r="P66" s="106"/>
      <c r="Q66" s="106"/>
      <c r="R66" s="115"/>
      <c r="S66" s="106"/>
      <c r="T66" s="106"/>
      <c r="U66" s="106"/>
      <c r="V66" s="106"/>
      <c r="W66" s="106"/>
      <c r="X66" s="106"/>
      <c r="Y66" s="106"/>
      <c r="Z66" s="106"/>
      <c r="AA66" s="116"/>
      <c r="AB66" s="117"/>
      <c r="AC66" s="117"/>
      <c r="AD66" s="117"/>
      <c r="AE66" s="117"/>
      <c r="AF66" s="117"/>
      <c r="AG66" s="117"/>
      <c r="AH66" s="117"/>
      <c r="AI66" s="117"/>
      <c r="AJ66" s="117"/>
      <c r="AK66" s="117"/>
      <c r="AL66" s="117"/>
      <c r="AM66" s="117"/>
      <c r="AN66" s="117"/>
      <c r="AO66" s="117"/>
      <c r="AP66" s="117"/>
      <c r="AQ66" s="117"/>
    </row>
    <row r="67" ht="14.25" customHeight="1" outlineLevel="1">
      <c r="A67" s="108" t="s">
        <v>427</v>
      </c>
      <c r="B67" s="109" t="s">
        <v>428</v>
      </c>
      <c r="C67" s="108" t="s">
        <v>128</v>
      </c>
      <c r="D67" s="110"/>
      <c r="E67" s="121" t="s">
        <v>426</v>
      </c>
      <c r="F67" s="111"/>
      <c r="G67" s="110"/>
      <c r="H67" s="112"/>
      <c r="I67" s="112"/>
      <c r="J67" s="113" t="s">
        <v>78</v>
      </c>
      <c r="K67" s="110"/>
      <c r="L67" s="111"/>
      <c r="M67" s="111" t="s">
        <v>429</v>
      </c>
      <c r="N67" s="110"/>
      <c r="O67" s="106"/>
      <c r="P67" s="106"/>
      <c r="Q67" s="106"/>
      <c r="R67" s="115"/>
      <c r="S67" s="106"/>
      <c r="T67" s="106"/>
      <c r="U67" s="106"/>
      <c r="V67" s="106"/>
      <c r="W67" s="106"/>
      <c r="X67" s="106"/>
      <c r="Y67" s="106"/>
      <c r="Z67" s="106"/>
      <c r="AA67" s="116"/>
      <c r="AB67" s="117"/>
      <c r="AC67" s="117"/>
      <c r="AD67" s="117"/>
      <c r="AE67" s="117"/>
      <c r="AF67" s="117"/>
      <c r="AG67" s="117"/>
      <c r="AH67" s="117"/>
      <c r="AI67" s="117"/>
      <c r="AJ67" s="117"/>
      <c r="AK67" s="117"/>
      <c r="AL67" s="117"/>
      <c r="AM67" s="117"/>
      <c r="AN67" s="117"/>
      <c r="AO67" s="117"/>
      <c r="AP67" s="117"/>
      <c r="AQ67" s="117"/>
    </row>
    <row r="68" ht="14.25" customHeight="1" outlineLevel="1">
      <c r="A68" s="45"/>
      <c r="B68" s="45"/>
      <c r="C68" s="45"/>
      <c r="D68" s="45"/>
      <c r="E68" s="45"/>
      <c r="F68" s="54"/>
      <c r="G68" s="45"/>
      <c r="H68" s="67"/>
      <c r="I68" s="67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89"/>
      <c r="AB68" s="90"/>
      <c r="AC68" s="90"/>
      <c r="AD68" s="90"/>
      <c r="AE68" s="90"/>
      <c r="AF68" s="90"/>
      <c r="AG68" s="90"/>
      <c r="AH68" s="90"/>
      <c r="AI68" s="90"/>
      <c r="AJ68" s="90"/>
      <c r="AK68" s="90"/>
      <c r="AL68" s="90"/>
      <c r="AM68" s="90"/>
      <c r="AN68" s="90"/>
      <c r="AO68" s="90"/>
      <c r="AP68" s="90"/>
      <c r="AQ68" s="90"/>
    </row>
    <row r="69" ht="14.25" customHeight="1">
      <c r="A69" s="92" t="s">
        <v>134</v>
      </c>
      <c r="B69" s="55"/>
      <c r="C69" s="55"/>
      <c r="D69" s="55"/>
      <c r="E69" s="55"/>
      <c r="F69" s="56"/>
      <c r="G69" s="55"/>
      <c r="H69" s="56"/>
      <c r="I69" s="56"/>
      <c r="J69" s="55"/>
      <c r="K69" s="55"/>
      <c r="L69" s="55"/>
      <c r="M69" s="56"/>
      <c r="N69" s="56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86"/>
      <c r="AB69" s="87"/>
      <c r="AC69" s="87"/>
      <c r="AD69" s="87"/>
      <c r="AE69" s="87"/>
      <c r="AF69" s="87"/>
      <c r="AG69" s="87"/>
      <c r="AH69" s="87"/>
      <c r="AI69" s="87"/>
      <c r="AJ69" s="87"/>
      <c r="AK69" s="87"/>
      <c r="AL69" s="87"/>
      <c r="AM69" s="87"/>
      <c r="AN69" s="87"/>
      <c r="AO69" s="87"/>
      <c r="AP69" s="87"/>
      <c r="AQ69" s="87"/>
    </row>
    <row r="70" ht="14.25" customHeight="1" outlineLevel="1">
      <c r="A70" s="46" t="s">
        <v>430</v>
      </c>
      <c r="B70" s="48" t="s">
        <v>353</v>
      </c>
      <c r="C70" s="48" t="s">
        <v>135</v>
      </c>
      <c r="D70" s="57"/>
      <c r="E70" s="48" t="s">
        <v>354</v>
      </c>
      <c r="F70" s="49" t="s">
        <v>355</v>
      </c>
      <c r="G70" s="57"/>
      <c r="H70" s="67"/>
      <c r="I70" s="67"/>
      <c r="J70" s="47" t="s">
        <v>78</v>
      </c>
      <c r="K70" s="47"/>
      <c r="L70" s="48"/>
      <c r="N70" s="57"/>
      <c r="O70" s="71"/>
      <c r="P70" s="45"/>
      <c r="Q70" s="45"/>
      <c r="R70" s="59"/>
      <c r="S70" s="107" t="s">
        <v>431</v>
      </c>
      <c r="T70" s="46">
        <v>1.0</v>
      </c>
      <c r="U70" s="46">
        <v>1.0</v>
      </c>
      <c r="V70" s="45"/>
      <c r="W70" s="45"/>
      <c r="X70" s="45"/>
      <c r="Y70" s="45"/>
      <c r="Z70" s="45"/>
      <c r="AA70" s="89"/>
      <c r="AB70" s="90"/>
      <c r="AC70" s="90"/>
      <c r="AD70" s="90"/>
      <c r="AE70" s="90"/>
      <c r="AF70" s="90"/>
      <c r="AG70" s="90"/>
      <c r="AH70" s="90"/>
      <c r="AI70" s="90"/>
      <c r="AJ70" s="90"/>
      <c r="AK70" s="90"/>
      <c r="AL70" s="90"/>
      <c r="AM70" s="90"/>
      <c r="AN70" s="90"/>
      <c r="AO70" s="90"/>
      <c r="AP70" s="90"/>
      <c r="AQ70" s="90"/>
    </row>
    <row r="71" ht="14.25" customHeight="1" outlineLevel="1">
      <c r="A71" s="46" t="s">
        <v>432</v>
      </c>
      <c r="B71" s="48" t="s">
        <v>353</v>
      </c>
      <c r="C71" s="48" t="s">
        <v>135</v>
      </c>
      <c r="D71" s="57"/>
      <c r="E71" s="48" t="s">
        <v>433</v>
      </c>
      <c r="F71" s="49" t="s">
        <v>434</v>
      </c>
      <c r="G71" s="57"/>
      <c r="H71" s="67"/>
      <c r="I71" s="67"/>
      <c r="J71" s="47" t="s">
        <v>78</v>
      </c>
      <c r="K71" s="47"/>
      <c r="L71" s="48"/>
      <c r="N71" s="57"/>
      <c r="O71" s="71"/>
      <c r="P71" s="45"/>
      <c r="Q71" s="45"/>
      <c r="R71" s="66" t="s">
        <v>305</v>
      </c>
      <c r="S71" s="107" t="s">
        <v>435</v>
      </c>
      <c r="T71" s="45"/>
      <c r="U71" s="46">
        <v>2.0</v>
      </c>
      <c r="V71" s="45"/>
      <c r="W71" s="45"/>
      <c r="X71" s="45"/>
      <c r="Y71" s="45"/>
      <c r="Z71" s="45"/>
      <c r="AA71" s="89"/>
      <c r="AB71" s="90"/>
      <c r="AC71" s="90"/>
      <c r="AD71" s="90"/>
      <c r="AE71" s="90"/>
      <c r="AF71" s="90"/>
      <c r="AG71" s="90"/>
      <c r="AH71" s="90"/>
      <c r="AI71" s="90"/>
      <c r="AJ71" s="90"/>
      <c r="AK71" s="90"/>
      <c r="AL71" s="90"/>
      <c r="AM71" s="90"/>
      <c r="AN71" s="90"/>
      <c r="AO71" s="90"/>
      <c r="AP71" s="90"/>
      <c r="AQ71" s="90"/>
    </row>
    <row r="72" ht="14.25" customHeight="1" outlineLevel="1">
      <c r="A72" s="45" t="str">
        <f t="shared" ref="A72:A78" si="9">CONCATENATE("sacs:",RIGHT(C72,LEN(C72)-SEARCH(":",C72)),"_", RIGHT(B72,LEN(B72)-SEARCH(":", B72)) )</f>
        <v>sacs:Procedure_name</v>
      </c>
      <c r="B72" s="48" t="s">
        <v>297</v>
      </c>
      <c r="C72" s="48" t="s">
        <v>135</v>
      </c>
      <c r="D72" s="57"/>
      <c r="E72" s="48" t="s">
        <v>399</v>
      </c>
      <c r="F72" s="49" t="s">
        <v>436</v>
      </c>
      <c r="G72" s="57"/>
      <c r="H72" s="122">
        <v>1.0</v>
      </c>
      <c r="I72" s="67">
        <v>1.0</v>
      </c>
      <c r="J72" s="47" t="s">
        <v>240</v>
      </c>
      <c r="K72" s="53" t="s">
        <v>314</v>
      </c>
      <c r="L72" s="57"/>
      <c r="M72" s="46" t="s">
        <v>237</v>
      </c>
      <c r="N72" s="57"/>
      <c r="O72" s="45"/>
      <c r="P72" s="45"/>
      <c r="Q72" s="88" t="s">
        <v>300</v>
      </c>
      <c r="R72" s="57" t="s">
        <v>301</v>
      </c>
      <c r="S72" s="45"/>
      <c r="T72" s="45"/>
      <c r="U72" s="45"/>
      <c r="V72" s="45"/>
      <c r="W72" s="45"/>
      <c r="X72" s="45"/>
      <c r="Y72" s="45"/>
      <c r="Z72" s="45"/>
      <c r="AA72" s="89"/>
      <c r="AB72" s="90"/>
      <c r="AC72" s="90"/>
      <c r="AD72" s="90"/>
      <c r="AE72" s="90"/>
      <c r="AF72" s="90"/>
      <c r="AG72" s="90"/>
      <c r="AH72" s="90"/>
      <c r="AI72" s="90"/>
      <c r="AJ72" s="90"/>
      <c r="AK72" s="90"/>
      <c r="AL72" s="90"/>
      <c r="AM72" s="90"/>
      <c r="AN72" s="90"/>
      <c r="AO72" s="90"/>
      <c r="AP72" s="90"/>
      <c r="AQ72" s="90"/>
    </row>
    <row r="73" ht="14.25" customHeight="1" outlineLevel="1">
      <c r="A73" s="45" t="str">
        <f t="shared" si="9"/>
        <v>sacs:Procedure_resultsOrResultedFrom</v>
      </c>
      <c r="B73" s="48" t="s">
        <v>437</v>
      </c>
      <c r="C73" s="48" t="s">
        <v>135</v>
      </c>
      <c r="D73" s="57"/>
      <c r="E73" s="118" t="s">
        <v>438</v>
      </c>
      <c r="F73" s="49" t="s">
        <v>439</v>
      </c>
      <c r="G73" s="57"/>
      <c r="H73" s="67">
        <v>1.0</v>
      </c>
      <c r="I73" s="67">
        <v>1.0</v>
      </c>
      <c r="J73" s="47" t="s">
        <v>78</v>
      </c>
      <c r="L73" s="48" t="s">
        <v>102</v>
      </c>
      <c r="M73" s="48"/>
      <c r="N73" s="57"/>
      <c r="O73" s="45"/>
      <c r="P73" s="45"/>
      <c r="Q73" s="45"/>
      <c r="R73" s="59" t="s">
        <v>334</v>
      </c>
      <c r="S73" s="45"/>
      <c r="T73" s="45"/>
      <c r="U73" s="45"/>
      <c r="V73" s="45"/>
      <c r="W73" s="45"/>
      <c r="X73" s="45"/>
      <c r="Y73" s="45"/>
      <c r="Z73" s="45"/>
      <c r="AA73" s="89"/>
      <c r="AB73" s="90"/>
      <c r="AC73" s="90"/>
      <c r="AD73" s="90"/>
      <c r="AE73" s="90"/>
      <c r="AF73" s="90"/>
      <c r="AG73" s="90"/>
      <c r="AH73" s="90"/>
      <c r="AI73" s="90"/>
      <c r="AJ73" s="90"/>
      <c r="AK73" s="90"/>
      <c r="AL73" s="90"/>
      <c r="AM73" s="90"/>
      <c r="AN73" s="90"/>
      <c r="AO73" s="90"/>
      <c r="AP73" s="90"/>
      <c r="AQ73" s="90"/>
    </row>
    <row r="74" ht="14.25" customHeight="1" outlineLevel="1">
      <c r="A74" s="45" t="str">
        <f t="shared" si="9"/>
        <v>sacs:Procedure_hasOrHadSubevent</v>
      </c>
      <c r="B74" s="48" t="s">
        <v>440</v>
      </c>
      <c r="C74" s="48" t="s">
        <v>135</v>
      </c>
      <c r="D74" s="57"/>
      <c r="E74" s="48" t="s">
        <v>441</v>
      </c>
      <c r="F74" s="49" t="s">
        <v>442</v>
      </c>
      <c r="G74" s="57"/>
      <c r="H74" s="67"/>
      <c r="I74" s="67">
        <v>3.0</v>
      </c>
      <c r="J74" s="47" t="s">
        <v>78</v>
      </c>
      <c r="L74" s="48"/>
      <c r="M74" s="48" t="s">
        <v>109</v>
      </c>
      <c r="N74" s="57"/>
      <c r="O74" s="45"/>
      <c r="P74" s="45"/>
      <c r="Q74" s="45"/>
      <c r="R74" s="59" t="s">
        <v>334</v>
      </c>
      <c r="S74" s="45"/>
      <c r="T74" s="45"/>
      <c r="U74" s="45"/>
      <c r="V74" s="45"/>
      <c r="W74" s="45"/>
      <c r="X74" s="45"/>
      <c r="Y74" s="45"/>
      <c r="Z74" s="45"/>
      <c r="AA74" s="89"/>
      <c r="AB74" s="90"/>
      <c r="AC74" s="90"/>
      <c r="AD74" s="90"/>
      <c r="AE74" s="90"/>
      <c r="AF74" s="90"/>
      <c r="AG74" s="90"/>
      <c r="AH74" s="90"/>
      <c r="AI74" s="90"/>
      <c r="AJ74" s="90"/>
      <c r="AK74" s="90"/>
      <c r="AL74" s="90"/>
      <c r="AM74" s="90"/>
      <c r="AN74" s="90"/>
      <c r="AO74" s="90"/>
      <c r="AP74" s="90"/>
      <c r="AQ74" s="90"/>
    </row>
    <row r="75" ht="14.25" customHeight="1" outlineLevel="1">
      <c r="A75" s="45" t="str">
        <f t="shared" si="9"/>
        <v>sacs:Procedure_isAssociatedWithEvent</v>
      </c>
      <c r="B75" s="48" t="s">
        <v>443</v>
      </c>
      <c r="C75" s="48" t="s">
        <v>135</v>
      </c>
      <c r="D75" s="57"/>
      <c r="E75" s="118" t="s">
        <v>444</v>
      </c>
      <c r="F75" s="49" t="s">
        <v>445</v>
      </c>
      <c r="G75" s="57"/>
      <c r="I75" s="67"/>
      <c r="J75" s="47" t="s">
        <v>78</v>
      </c>
      <c r="K75" s="57"/>
      <c r="L75" s="48"/>
      <c r="M75" s="48" t="s">
        <v>135</v>
      </c>
      <c r="N75" s="57"/>
      <c r="O75" s="45"/>
      <c r="P75" s="45"/>
      <c r="Q75" s="45"/>
      <c r="R75" s="59" t="s">
        <v>327</v>
      </c>
      <c r="S75" s="45"/>
      <c r="T75" s="45"/>
      <c r="U75" s="45"/>
      <c r="V75" s="45"/>
      <c r="W75" s="45"/>
      <c r="X75" s="45"/>
      <c r="Y75" s="45"/>
      <c r="Z75" s="45"/>
      <c r="AA75" s="89"/>
      <c r="AB75" s="90"/>
      <c r="AC75" s="90"/>
      <c r="AD75" s="90"/>
      <c r="AE75" s="90"/>
      <c r="AF75" s="90"/>
      <c r="AG75" s="90"/>
      <c r="AH75" s="90"/>
      <c r="AI75" s="90"/>
      <c r="AJ75" s="90"/>
      <c r="AK75" s="90"/>
      <c r="AL75" s="90"/>
      <c r="AM75" s="90"/>
      <c r="AN75" s="90"/>
      <c r="AO75" s="90"/>
      <c r="AP75" s="90"/>
      <c r="AQ75" s="90"/>
    </row>
    <row r="76" ht="14.25" customHeight="1" outlineLevel="1">
      <c r="A76" s="45" t="str">
        <f t="shared" si="9"/>
        <v>sacs:Procedure_hasOrHadParticipant</v>
      </c>
      <c r="B76" s="48" t="s">
        <v>446</v>
      </c>
      <c r="C76" s="48" t="s">
        <v>135</v>
      </c>
      <c r="D76" s="57"/>
      <c r="E76" s="48" t="s">
        <v>447</v>
      </c>
      <c r="F76" s="49" t="s">
        <v>448</v>
      </c>
      <c r="G76" s="57"/>
      <c r="H76" s="67"/>
      <c r="I76" s="67"/>
      <c r="J76" s="47" t="s">
        <v>78</v>
      </c>
      <c r="K76" s="57"/>
      <c r="L76" s="49"/>
      <c r="M76" s="49" t="s">
        <v>449</v>
      </c>
      <c r="O76" s="45"/>
      <c r="P76" s="45"/>
      <c r="Q76" s="45"/>
      <c r="R76" s="59" t="s">
        <v>327</v>
      </c>
      <c r="S76" s="45"/>
      <c r="T76" s="45"/>
      <c r="U76" s="45"/>
      <c r="V76" s="45"/>
      <c r="W76" s="45"/>
      <c r="X76" s="45"/>
      <c r="Y76" s="46" t="s">
        <v>450</v>
      </c>
      <c r="Z76" s="46" t="s">
        <v>451</v>
      </c>
      <c r="AA76" s="89"/>
      <c r="AB76" s="90"/>
      <c r="AC76" s="90"/>
      <c r="AD76" s="90"/>
      <c r="AE76" s="90"/>
      <c r="AF76" s="90"/>
      <c r="AG76" s="90"/>
      <c r="AH76" s="90"/>
      <c r="AI76" s="90"/>
      <c r="AJ76" s="90"/>
      <c r="AK76" s="90"/>
      <c r="AL76" s="90"/>
      <c r="AM76" s="90"/>
      <c r="AN76" s="90"/>
      <c r="AO76" s="90"/>
      <c r="AP76" s="90"/>
      <c r="AQ76" s="90"/>
    </row>
    <row r="77" ht="14.25" customHeight="1" outlineLevel="1">
      <c r="A77" s="45" t="str">
        <f t="shared" si="9"/>
        <v>sacs:Procedure_hasBeginningDate</v>
      </c>
      <c r="B77" s="48" t="s">
        <v>452</v>
      </c>
      <c r="C77" s="48" t="s">
        <v>135</v>
      </c>
      <c r="D77" s="57"/>
      <c r="E77" s="48" t="s">
        <v>453</v>
      </c>
      <c r="F77" s="49" t="s">
        <v>454</v>
      </c>
      <c r="G77" s="57"/>
      <c r="H77" s="67"/>
      <c r="I77" s="67">
        <v>1.0</v>
      </c>
      <c r="J77" s="47" t="s">
        <v>78</v>
      </c>
      <c r="K77" s="57"/>
      <c r="L77" s="48" t="s">
        <v>86</v>
      </c>
      <c r="M77" s="49"/>
      <c r="O77" s="45"/>
      <c r="P77" s="45"/>
      <c r="Q77" s="45"/>
      <c r="R77" s="59" t="s">
        <v>334</v>
      </c>
      <c r="S77" s="45"/>
      <c r="T77" s="45"/>
      <c r="U77" s="45"/>
      <c r="V77" s="45"/>
      <c r="W77" s="45"/>
      <c r="X77" s="45"/>
      <c r="Y77" s="45"/>
      <c r="Z77" s="45"/>
      <c r="AA77" s="89"/>
      <c r="AB77" s="90"/>
      <c r="AC77" s="90"/>
      <c r="AD77" s="90"/>
      <c r="AE77" s="90"/>
      <c r="AF77" s="90"/>
      <c r="AG77" s="90"/>
      <c r="AH77" s="90"/>
      <c r="AI77" s="90"/>
      <c r="AJ77" s="90"/>
      <c r="AK77" s="90"/>
      <c r="AL77" s="90"/>
      <c r="AM77" s="90"/>
      <c r="AN77" s="90"/>
      <c r="AO77" s="90"/>
      <c r="AP77" s="90"/>
      <c r="AQ77" s="90"/>
    </row>
    <row r="78" ht="14.25" customHeight="1" outlineLevel="1">
      <c r="A78" s="45" t="str">
        <f t="shared" si="9"/>
        <v>sacs:Procedure_hasEndDate</v>
      </c>
      <c r="B78" s="48" t="s">
        <v>455</v>
      </c>
      <c r="C78" s="48" t="s">
        <v>135</v>
      </c>
      <c r="D78" s="57"/>
      <c r="E78" s="48" t="s">
        <v>456</v>
      </c>
      <c r="F78" s="49" t="s">
        <v>457</v>
      </c>
      <c r="G78" s="57"/>
      <c r="H78" s="67"/>
      <c r="I78" s="67">
        <v>1.0</v>
      </c>
      <c r="J78" s="47" t="s">
        <v>78</v>
      </c>
      <c r="K78" s="57"/>
      <c r="L78" s="48" t="s">
        <v>86</v>
      </c>
      <c r="M78" s="49"/>
      <c r="O78" s="45"/>
      <c r="P78" s="45"/>
      <c r="Q78" s="45"/>
      <c r="R78" s="59" t="s">
        <v>334</v>
      </c>
      <c r="S78" s="45"/>
      <c r="T78" s="45"/>
      <c r="U78" s="45"/>
      <c r="V78" s="45"/>
      <c r="W78" s="45"/>
      <c r="X78" s="45"/>
      <c r="Y78" s="45"/>
      <c r="Z78" s="45"/>
      <c r="AA78" s="89"/>
      <c r="AB78" s="90"/>
      <c r="AC78" s="90"/>
      <c r="AD78" s="90"/>
      <c r="AE78" s="90"/>
      <c r="AF78" s="90"/>
      <c r="AG78" s="90"/>
      <c r="AH78" s="90"/>
      <c r="AI78" s="90"/>
      <c r="AJ78" s="90"/>
      <c r="AK78" s="90"/>
      <c r="AL78" s="90"/>
      <c r="AM78" s="90"/>
      <c r="AN78" s="90"/>
      <c r="AO78" s="90"/>
      <c r="AP78" s="90"/>
      <c r="AQ78" s="90"/>
    </row>
    <row r="79" ht="14.25" customHeight="1" outlineLevel="1">
      <c r="A79" s="45"/>
      <c r="B79" s="45"/>
      <c r="C79" s="45"/>
      <c r="D79" s="45"/>
      <c r="E79" s="45"/>
      <c r="F79" s="54"/>
      <c r="G79" s="45"/>
      <c r="H79" s="67"/>
      <c r="I79" s="67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89"/>
      <c r="AB79" s="90"/>
      <c r="AC79" s="90"/>
      <c r="AD79" s="90"/>
      <c r="AE79" s="90"/>
      <c r="AF79" s="90"/>
      <c r="AG79" s="90"/>
      <c r="AH79" s="90"/>
      <c r="AI79" s="90"/>
      <c r="AJ79" s="90"/>
      <c r="AK79" s="90"/>
      <c r="AL79" s="90"/>
      <c r="AM79" s="90"/>
      <c r="AN79" s="90"/>
      <c r="AO79" s="90"/>
      <c r="AP79" s="90"/>
      <c r="AQ79" s="90"/>
    </row>
    <row r="80" ht="14.25" customHeight="1" outlineLevel="1">
      <c r="A80" s="108" t="s">
        <v>458</v>
      </c>
      <c r="B80" s="109" t="s">
        <v>459</v>
      </c>
      <c r="C80" s="108" t="s">
        <v>135</v>
      </c>
      <c r="D80" s="106"/>
      <c r="E80" s="108" t="s">
        <v>460</v>
      </c>
      <c r="F80" s="111" t="s">
        <v>461</v>
      </c>
      <c r="G80" s="106"/>
      <c r="H80" s="112">
        <v>2.0</v>
      </c>
      <c r="I80" s="112"/>
      <c r="J80" s="113" t="s">
        <v>78</v>
      </c>
      <c r="K80" s="106"/>
      <c r="L80" s="109"/>
      <c r="M80" s="108" t="s">
        <v>462</v>
      </c>
      <c r="N80" s="106"/>
      <c r="O80" s="106"/>
      <c r="P80" s="106"/>
      <c r="Q80" s="106"/>
      <c r="R80" s="115"/>
      <c r="S80" s="106"/>
      <c r="T80" s="106"/>
      <c r="U80" s="106"/>
      <c r="V80" s="106"/>
      <c r="W80" s="106"/>
      <c r="X80" s="106"/>
      <c r="Y80" s="106"/>
      <c r="Z80" s="106"/>
      <c r="AA80" s="116"/>
      <c r="AB80" s="117"/>
      <c r="AC80" s="117"/>
      <c r="AD80" s="117"/>
      <c r="AE80" s="117"/>
      <c r="AF80" s="117"/>
      <c r="AG80" s="117"/>
      <c r="AH80" s="117"/>
      <c r="AI80" s="117"/>
      <c r="AJ80" s="117"/>
      <c r="AK80" s="117"/>
      <c r="AL80" s="117"/>
      <c r="AM80" s="117"/>
      <c r="AN80" s="117"/>
      <c r="AO80" s="117"/>
      <c r="AP80" s="117"/>
      <c r="AQ80" s="117"/>
    </row>
    <row r="81" ht="14.25" customHeight="1" outlineLevel="1">
      <c r="A81" s="45"/>
      <c r="B81" s="45"/>
      <c r="C81" s="45"/>
      <c r="D81" s="45"/>
      <c r="E81" s="45"/>
      <c r="F81" s="54"/>
      <c r="G81" s="45"/>
      <c r="H81" s="67"/>
      <c r="I81" s="67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89"/>
      <c r="AB81" s="90"/>
      <c r="AC81" s="90"/>
      <c r="AD81" s="90"/>
      <c r="AE81" s="90"/>
      <c r="AF81" s="90"/>
      <c r="AG81" s="90"/>
      <c r="AH81" s="90"/>
      <c r="AI81" s="90"/>
      <c r="AJ81" s="90"/>
      <c r="AK81" s="90"/>
      <c r="AL81" s="90"/>
      <c r="AM81" s="90"/>
      <c r="AN81" s="90"/>
      <c r="AO81" s="90"/>
      <c r="AP81" s="90"/>
      <c r="AQ81" s="90"/>
    </row>
    <row r="82" ht="14.25" customHeight="1">
      <c r="A82" s="92" t="s">
        <v>155</v>
      </c>
      <c r="B82" s="55"/>
      <c r="C82" s="55"/>
      <c r="D82" s="55"/>
      <c r="E82" s="55"/>
      <c r="F82" s="56"/>
      <c r="G82" s="55"/>
      <c r="H82" s="56"/>
      <c r="I82" s="56"/>
      <c r="J82" s="55"/>
      <c r="K82" s="55"/>
      <c r="L82" s="55"/>
      <c r="M82" s="56"/>
      <c r="N82" s="56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86"/>
      <c r="AB82" s="87"/>
      <c r="AC82" s="87"/>
      <c r="AD82" s="87"/>
      <c r="AE82" s="87"/>
      <c r="AF82" s="87"/>
      <c r="AG82" s="87"/>
      <c r="AH82" s="87"/>
      <c r="AI82" s="87"/>
      <c r="AJ82" s="87"/>
      <c r="AK82" s="87"/>
      <c r="AL82" s="87"/>
      <c r="AM82" s="87"/>
      <c r="AN82" s="87"/>
      <c r="AO82" s="87"/>
      <c r="AP82" s="87"/>
      <c r="AQ82" s="87"/>
    </row>
    <row r="83" ht="14.25" customHeight="1" outlineLevel="1">
      <c r="A83" s="93" t="str">
        <f t="shared" ref="A83:A84" si="10">CONCATENATE("sacs:",RIGHT(C83,LEN(C83)-SEARCH(":",C83)),"_", RIGHT(B83,LEN(B83)-SEARCH(":", B83)) )</f>
        <v>sacs:Sac_name</v>
      </c>
      <c r="B83" s="104" t="s">
        <v>297</v>
      </c>
      <c r="C83" s="94" t="s">
        <v>156</v>
      </c>
      <c r="D83" s="104"/>
      <c r="E83" s="94" t="s">
        <v>315</v>
      </c>
      <c r="F83" s="96" t="s">
        <v>463</v>
      </c>
      <c r="G83" s="104"/>
      <c r="H83" s="97">
        <v>1.0</v>
      </c>
      <c r="I83" s="97">
        <v>1.0</v>
      </c>
      <c r="J83" s="98" t="s">
        <v>240</v>
      </c>
      <c r="K83" s="98" t="s">
        <v>314</v>
      </c>
      <c r="L83" s="104"/>
      <c r="M83" s="46" t="s">
        <v>237</v>
      </c>
      <c r="N83" s="93"/>
      <c r="O83" s="93"/>
      <c r="P83" s="93"/>
      <c r="Q83" s="100" t="s">
        <v>300</v>
      </c>
      <c r="R83" s="57" t="s">
        <v>301</v>
      </c>
      <c r="S83" s="93"/>
      <c r="T83" s="93"/>
      <c r="U83" s="93"/>
      <c r="V83" s="93"/>
      <c r="W83" s="93"/>
      <c r="X83" s="93"/>
      <c r="Y83" s="93"/>
      <c r="Z83" s="93"/>
      <c r="AA83" s="105"/>
      <c r="AB83" s="102"/>
      <c r="AC83" s="102"/>
      <c r="AD83" s="102"/>
      <c r="AE83" s="102"/>
      <c r="AF83" s="102"/>
      <c r="AG83" s="102"/>
      <c r="AH83" s="102"/>
      <c r="AI83" s="102"/>
      <c r="AJ83" s="102"/>
      <c r="AK83" s="102"/>
      <c r="AL83" s="102"/>
      <c r="AM83" s="102"/>
      <c r="AN83" s="102"/>
      <c r="AO83" s="102"/>
      <c r="AP83" s="102"/>
      <c r="AQ83" s="102"/>
    </row>
    <row r="84" ht="14.25" customHeight="1" outlineLevel="1">
      <c r="A84" s="45" t="str">
        <f t="shared" si="10"/>
        <v>sacs:Sac_hasCarrierType</v>
      </c>
      <c r="B84" s="48" t="s">
        <v>394</v>
      </c>
      <c r="C84" s="48" t="s">
        <v>156</v>
      </c>
      <c r="D84" s="57"/>
      <c r="E84" s="46" t="s">
        <v>395</v>
      </c>
      <c r="F84" s="49" t="s">
        <v>396</v>
      </c>
      <c r="G84" s="57"/>
      <c r="H84" s="67">
        <v>1.0</v>
      </c>
      <c r="I84" s="67">
        <v>1.0</v>
      </c>
      <c r="J84" s="47" t="s">
        <v>78</v>
      </c>
      <c r="K84" s="47"/>
      <c r="L84" s="48" t="s">
        <v>207</v>
      </c>
      <c r="N84" s="57"/>
      <c r="O84" s="71" t="s">
        <v>464</v>
      </c>
      <c r="P84" s="45"/>
      <c r="Q84" s="45"/>
      <c r="R84" s="59"/>
      <c r="S84" s="45"/>
      <c r="T84" s="45"/>
      <c r="U84" s="45"/>
      <c r="V84" s="45"/>
      <c r="W84" s="45"/>
      <c r="X84" s="45"/>
      <c r="Y84" s="45"/>
      <c r="Z84" s="45"/>
      <c r="AA84" s="89"/>
      <c r="AB84" s="90"/>
      <c r="AC84" s="90"/>
      <c r="AD84" s="90"/>
      <c r="AE84" s="90"/>
      <c r="AF84" s="90"/>
      <c r="AG84" s="90"/>
      <c r="AH84" s="90"/>
      <c r="AI84" s="90"/>
      <c r="AJ84" s="90"/>
      <c r="AK84" s="90"/>
      <c r="AL84" s="90"/>
      <c r="AM84" s="90"/>
      <c r="AN84" s="90"/>
      <c r="AO84" s="90"/>
      <c r="AP84" s="90"/>
      <c r="AQ84" s="90"/>
    </row>
    <row r="85">
      <c r="F85" s="69"/>
    </row>
    <row r="86" ht="14.25" customHeight="1" outlineLevel="1">
      <c r="A86" s="45" t="str">
        <f t="shared" ref="A86:A91" si="11">CONCATENATE("sacs:",RIGHT(C86,LEN(C86)-SEARCH(":",C86)),"_", RIGHT(B86,LEN(B86)-SEARCH(":", B86)) )</f>
        <v>sacs:Sac_structure</v>
      </c>
      <c r="B86" s="48" t="s">
        <v>465</v>
      </c>
      <c r="C86" s="48" t="s">
        <v>156</v>
      </c>
      <c r="D86" s="57"/>
      <c r="E86" s="48" t="s">
        <v>466</v>
      </c>
      <c r="F86" s="49" t="s">
        <v>467</v>
      </c>
      <c r="G86" s="57"/>
      <c r="H86" s="67"/>
      <c r="I86" s="67">
        <v>1.0</v>
      </c>
      <c r="J86" s="47" t="s">
        <v>240</v>
      </c>
      <c r="K86" s="53" t="s">
        <v>314</v>
      </c>
      <c r="L86" s="57"/>
      <c r="M86" s="46" t="s">
        <v>241</v>
      </c>
      <c r="N86" s="57"/>
      <c r="O86" s="45"/>
      <c r="P86" s="45"/>
      <c r="Q86" s="45"/>
      <c r="R86" s="57" t="s">
        <v>301</v>
      </c>
      <c r="S86" s="45"/>
      <c r="T86" s="45"/>
      <c r="U86" s="45"/>
      <c r="V86" s="45"/>
      <c r="W86" s="45"/>
      <c r="X86" s="45"/>
      <c r="Y86" s="45"/>
      <c r="Z86" s="45"/>
      <c r="AA86" s="89"/>
      <c r="AB86" s="90"/>
      <c r="AC86" s="90"/>
      <c r="AD86" s="90"/>
      <c r="AE86" s="90"/>
      <c r="AF86" s="90"/>
      <c r="AG86" s="90"/>
      <c r="AH86" s="90"/>
      <c r="AI86" s="90"/>
      <c r="AJ86" s="90"/>
      <c r="AK86" s="90"/>
      <c r="AL86" s="90"/>
      <c r="AM86" s="90"/>
      <c r="AN86" s="90"/>
      <c r="AO86" s="90"/>
      <c r="AP86" s="90"/>
      <c r="AQ86" s="90"/>
    </row>
    <row r="87" ht="14.25" customHeight="1" outlineLevel="1">
      <c r="A87" s="45" t="str">
        <f t="shared" si="11"/>
        <v>sacs:Sac_hasOrHadIdentifier</v>
      </c>
      <c r="B87" s="48" t="s">
        <v>331</v>
      </c>
      <c r="C87" s="48" t="s">
        <v>156</v>
      </c>
      <c r="D87" s="57"/>
      <c r="E87" s="48" t="s">
        <v>468</v>
      </c>
      <c r="F87" s="49" t="s">
        <v>469</v>
      </c>
      <c r="G87" s="57"/>
      <c r="H87" s="67">
        <v>1.0</v>
      </c>
      <c r="I87" s="67"/>
      <c r="J87" s="47" t="s">
        <v>78</v>
      </c>
      <c r="K87" s="57"/>
      <c r="L87" s="48" t="s">
        <v>75</v>
      </c>
      <c r="M87" s="57"/>
      <c r="N87" s="57"/>
      <c r="O87" s="45"/>
      <c r="P87" s="45"/>
      <c r="Q87" s="45"/>
      <c r="R87" s="59" t="s">
        <v>334</v>
      </c>
      <c r="S87" s="45"/>
      <c r="T87" s="45"/>
      <c r="U87" s="45"/>
      <c r="V87" s="45"/>
      <c r="W87" s="45"/>
      <c r="X87" s="45"/>
      <c r="Y87" s="45"/>
      <c r="Z87" s="45"/>
      <c r="AA87" s="89"/>
      <c r="AB87" s="90"/>
      <c r="AC87" s="90"/>
      <c r="AD87" s="90"/>
      <c r="AE87" s="90"/>
      <c r="AF87" s="90"/>
      <c r="AG87" s="90"/>
      <c r="AH87" s="90"/>
      <c r="AI87" s="90"/>
      <c r="AJ87" s="90"/>
      <c r="AK87" s="90"/>
      <c r="AL87" s="90"/>
      <c r="AM87" s="90"/>
      <c r="AN87" s="90"/>
      <c r="AO87" s="90"/>
      <c r="AP87" s="90"/>
      <c r="AQ87" s="90"/>
    </row>
    <row r="88" ht="14.25" customHeight="1" outlineLevel="1">
      <c r="A88" s="45" t="str">
        <f t="shared" si="11"/>
        <v>sacs:Sac_wasComponentOf</v>
      </c>
      <c r="B88" s="48" t="s">
        <v>470</v>
      </c>
      <c r="C88" s="48" t="s">
        <v>156</v>
      </c>
      <c r="D88" s="57"/>
      <c r="E88" s="118" t="s">
        <v>471</v>
      </c>
      <c r="F88" s="49" t="s">
        <v>472</v>
      </c>
      <c r="G88" s="57"/>
      <c r="H88" s="67"/>
      <c r="I88" s="67">
        <v>1.0</v>
      </c>
      <c r="J88" s="47" t="s">
        <v>78</v>
      </c>
      <c r="M88" s="48" t="s">
        <v>121</v>
      </c>
      <c r="N88" s="57"/>
      <c r="O88" s="45"/>
      <c r="P88" s="45"/>
      <c r="Q88" s="45"/>
      <c r="R88" s="59" t="s">
        <v>327</v>
      </c>
      <c r="S88" s="45"/>
      <c r="T88" s="45"/>
      <c r="U88" s="45"/>
      <c r="V88" s="45"/>
      <c r="W88" s="45"/>
      <c r="X88" s="45"/>
      <c r="Y88" s="45"/>
      <c r="Z88" s="45"/>
      <c r="AA88" s="89"/>
      <c r="AB88" s="90"/>
      <c r="AC88" s="90"/>
      <c r="AD88" s="90"/>
      <c r="AE88" s="90"/>
      <c r="AF88" s="90"/>
      <c r="AG88" s="90"/>
      <c r="AH88" s="90"/>
      <c r="AI88" s="90"/>
      <c r="AJ88" s="90"/>
      <c r="AK88" s="90"/>
      <c r="AL88" s="90"/>
      <c r="AM88" s="90"/>
      <c r="AN88" s="90"/>
      <c r="AO88" s="90"/>
      <c r="AP88" s="90"/>
      <c r="AQ88" s="90"/>
    </row>
    <row r="89" ht="14.25" customHeight="1" outlineLevel="1">
      <c r="A89" s="45" t="str">
        <f t="shared" si="11"/>
        <v>sacs:Sac_isOrWasInstantiationOf</v>
      </c>
      <c r="B89" s="48" t="s">
        <v>473</v>
      </c>
      <c r="C89" s="48" t="s">
        <v>156</v>
      </c>
      <c r="D89" s="57"/>
      <c r="E89" s="118" t="s">
        <v>474</v>
      </c>
      <c r="F89" s="91" t="s">
        <v>475</v>
      </c>
      <c r="G89" s="57"/>
      <c r="H89" s="67">
        <v>1.0</v>
      </c>
      <c r="I89" s="67">
        <v>1.0</v>
      </c>
      <c r="J89" s="47" t="s">
        <v>78</v>
      </c>
      <c r="L89" s="48" t="s">
        <v>94</v>
      </c>
      <c r="M89" s="57"/>
      <c r="N89" s="57"/>
      <c r="O89" s="45"/>
      <c r="P89" s="45"/>
      <c r="Q89" s="45"/>
      <c r="R89" s="57" t="s">
        <v>301</v>
      </c>
      <c r="S89" s="45"/>
      <c r="T89" s="45"/>
      <c r="U89" s="45"/>
      <c r="V89" s="45"/>
      <c r="W89" s="45"/>
      <c r="X89" s="45"/>
      <c r="Y89" s="45"/>
      <c r="Z89" s="45"/>
      <c r="AA89" s="89"/>
      <c r="AB89" s="90"/>
      <c r="AC89" s="90"/>
      <c r="AD89" s="90"/>
      <c r="AE89" s="90"/>
      <c r="AF89" s="90"/>
      <c r="AG89" s="90"/>
      <c r="AH89" s="90"/>
      <c r="AI89" s="90"/>
      <c r="AJ89" s="90"/>
      <c r="AK89" s="90"/>
      <c r="AL89" s="90"/>
      <c r="AM89" s="90"/>
      <c r="AN89" s="90"/>
      <c r="AO89" s="90"/>
      <c r="AP89" s="90"/>
      <c r="AQ89" s="90"/>
    </row>
    <row r="90" ht="14.25" customHeight="1" outlineLevel="1">
      <c r="A90" s="45" t="str">
        <f t="shared" si="11"/>
        <v>sacs:Sac_hasOrganicProvenance</v>
      </c>
      <c r="B90" s="48" t="s">
        <v>476</v>
      </c>
      <c r="C90" s="48" t="s">
        <v>156</v>
      </c>
      <c r="D90" s="57"/>
      <c r="E90" s="48" t="s">
        <v>477</v>
      </c>
      <c r="F90" s="49" t="s">
        <v>478</v>
      </c>
      <c r="G90" s="57"/>
      <c r="H90" s="67"/>
      <c r="I90" s="67"/>
      <c r="J90" s="47" t="s">
        <v>78</v>
      </c>
      <c r="K90" s="57"/>
      <c r="M90" s="48" t="s">
        <v>114</v>
      </c>
      <c r="N90" s="57"/>
      <c r="P90" s="45"/>
      <c r="Q90" s="45"/>
      <c r="R90" s="59" t="s">
        <v>327</v>
      </c>
      <c r="S90" s="45"/>
      <c r="T90" s="45"/>
      <c r="U90" s="45"/>
      <c r="V90" s="45"/>
      <c r="W90" s="45"/>
      <c r="X90" s="45"/>
      <c r="Y90" s="45"/>
      <c r="Z90" s="45"/>
      <c r="AA90" s="89"/>
      <c r="AB90" s="90"/>
      <c r="AC90" s="90"/>
      <c r="AD90" s="90"/>
      <c r="AE90" s="90"/>
      <c r="AF90" s="90"/>
      <c r="AG90" s="90"/>
      <c r="AH90" s="90"/>
      <c r="AI90" s="90"/>
      <c r="AJ90" s="90"/>
      <c r="AK90" s="90"/>
      <c r="AL90" s="90"/>
      <c r="AM90" s="90"/>
      <c r="AN90" s="90"/>
      <c r="AO90" s="90"/>
      <c r="AP90" s="90"/>
      <c r="AQ90" s="90"/>
    </row>
    <row r="91" ht="14.25" customHeight="1" outlineLevel="1">
      <c r="A91" s="45" t="str">
        <f t="shared" si="11"/>
        <v>sacs:Sac_documents</v>
      </c>
      <c r="B91" s="57" t="s">
        <v>328</v>
      </c>
      <c r="C91" s="48" t="s">
        <v>156</v>
      </c>
      <c r="D91" s="45"/>
      <c r="E91" s="46" t="s">
        <v>329</v>
      </c>
      <c r="F91" s="91" t="s">
        <v>330</v>
      </c>
      <c r="G91" s="45"/>
      <c r="H91" s="67">
        <v>1.0</v>
      </c>
      <c r="I91" s="67">
        <v>1.0</v>
      </c>
      <c r="J91" s="47" t="s">
        <v>78</v>
      </c>
      <c r="K91" s="45"/>
      <c r="L91" s="48"/>
      <c r="M91" s="48" t="s">
        <v>135</v>
      </c>
      <c r="N91" s="45"/>
      <c r="O91" s="45"/>
      <c r="P91" s="45"/>
      <c r="Q91" s="45"/>
      <c r="R91" s="59" t="s">
        <v>327</v>
      </c>
      <c r="S91" s="45"/>
      <c r="T91" s="45"/>
      <c r="U91" s="45"/>
      <c r="V91" s="45"/>
      <c r="W91" s="45"/>
      <c r="X91" s="45"/>
      <c r="Y91" s="45"/>
      <c r="Z91" s="45"/>
      <c r="AA91" s="89"/>
      <c r="AB91" s="90"/>
      <c r="AC91" s="90"/>
      <c r="AD91" s="90"/>
      <c r="AE91" s="90"/>
      <c r="AF91" s="90"/>
      <c r="AG91" s="90"/>
      <c r="AH91" s="90"/>
      <c r="AI91" s="90"/>
      <c r="AJ91" s="90"/>
      <c r="AK91" s="90"/>
      <c r="AL91" s="90"/>
      <c r="AM91" s="90"/>
      <c r="AN91" s="90"/>
      <c r="AO91" s="90"/>
      <c r="AP91" s="90"/>
      <c r="AQ91" s="90"/>
    </row>
    <row r="92" ht="14.25" customHeight="1" outlineLevel="1">
      <c r="A92" s="45"/>
      <c r="B92" s="45"/>
      <c r="C92" s="45"/>
      <c r="D92" s="45"/>
      <c r="E92" s="45"/>
      <c r="F92" s="54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89"/>
      <c r="AB92" s="90"/>
      <c r="AC92" s="90"/>
      <c r="AD92" s="90"/>
      <c r="AE92" s="90"/>
      <c r="AF92" s="90"/>
      <c r="AG92" s="90"/>
      <c r="AH92" s="90"/>
      <c r="AI92" s="90"/>
      <c r="AJ92" s="90"/>
      <c r="AK92" s="90"/>
      <c r="AL92" s="90"/>
      <c r="AM92" s="90"/>
      <c r="AN92" s="90"/>
      <c r="AO92" s="90"/>
      <c r="AP92" s="90"/>
      <c r="AQ92" s="90"/>
    </row>
    <row r="93" ht="14.25" customHeight="1">
      <c r="A93" s="92" t="s">
        <v>161</v>
      </c>
      <c r="B93" s="55"/>
      <c r="C93" s="55"/>
      <c r="D93" s="55"/>
      <c r="E93" s="55"/>
      <c r="F93" s="56"/>
      <c r="G93" s="55"/>
      <c r="H93" s="56"/>
      <c r="I93" s="56"/>
      <c r="J93" s="55"/>
      <c r="K93" s="55"/>
      <c r="L93" s="55"/>
      <c r="M93" s="56"/>
      <c r="N93" s="56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86"/>
      <c r="AB93" s="87"/>
      <c r="AC93" s="87"/>
      <c r="AD93" s="87"/>
      <c r="AE93" s="87"/>
      <c r="AF93" s="87"/>
      <c r="AG93" s="87"/>
      <c r="AH93" s="87"/>
      <c r="AI93" s="87"/>
      <c r="AJ93" s="87"/>
      <c r="AK93" s="87"/>
      <c r="AL93" s="87"/>
      <c r="AM93" s="87"/>
      <c r="AN93" s="87"/>
      <c r="AO93" s="87"/>
      <c r="AP93" s="87"/>
      <c r="AQ93" s="87"/>
    </row>
    <row r="94" ht="14.25" customHeight="1" outlineLevel="1">
      <c r="A94" s="45" t="str">
        <f t="shared" ref="A94:A96" si="12">CONCATENATE("sacs:",RIGHT(C94,LEN(C94)-SEARCH(":",C94)),"_", RIGHT(B94,LEN(B94)-SEARCH(":", B94)) )</f>
        <v>sacs:PersonneMorale_name</v>
      </c>
      <c r="B94" s="48" t="s">
        <v>297</v>
      </c>
      <c r="C94" s="48" t="s">
        <v>162</v>
      </c>
      <c r="D94" s="57"/>
      <c r="E94" s="48" t="s">
        <v>374</v>
      </c>
      <c r="F94" s="49" t="s">
        <v>479</v>
      </c>
      <c r="G94" s="57"/>
      <c r="H94" s="67">
        <v>1.0</v>
      </c>
      <c r="I94" s="67">
        <v>1.0</v>
      </c>
      <c r="J94" s="47" t="s">
        <v>240</v>
      </c>
      <c r="K94" s="53" t="s">
        <v>314</v>
      </c>
      <c r="L94" s="57"/>
      <c r="M94" s="46" t="s">
        <v>237</v>
      </c>
      <c r="N94" s="57"/>
      <c r="O94" s="45"/>
      <c r="P94" s="45"/>
      <c r="Q94" s="88" t="s">
        <v>300</v>
      </c>
      <c r="R94" s="57" t="s">
        <v>301</v>
      </c>
      <c r="S94" s="45"/>
      <c r="T94" s="45"/>
      <c r="U94" s="45"/>
      <c r="V94" s="45"/>
      <c r="W94" s="45"/>
      <c r="X94" s="45"/>
      <c r="Y94" s="45"/>
      <c r="Z94" s="45"/>
      <c r="AA94" s="89"/>
      <c r="AB94" s="90"/>
      <c r="AC94" s="90"/>
      <c r="AD94" s="90"/>
      <c r="AE94" s="90"/>
      <c r="AF94" s="90"/>
      <c r="AG94" s="90"/>
      <c r="AH94" s="90"/>
      <c r="AI94" s="90"/>
      <c r="AJ94" s="90"/>
      <c r="AK94" s="90"/>
      <c r="AL94" s="90"/>
      <c r="AM94" s="90"/>
      <c r="AN94" s="90"/>
      <c r="AO94" s="90"/>
      <c r="AP94" s="90"/>
      <c r="AQ94" s="90"/>
    </row>
    <row r="95" ht="14.25" customHeight="1" outlineLevel="1">
      <c r="A95" s="45" t="str">
        <f t="shared" si="12"/>
        <v>sacs:PersonneMorale_hasOrHadCorporateBodyType</v>
      </c>
      <c r="B95" s="48" t="s">
        <v>382</v>
      </c>
      <c r="C95" s="48" t="s">
        <v>162</v>
      </c>
      <c r="D95" s="45"/>
      <c r="E95" s="46" t="s">
        <v>480</v>
      </c>
      <c r="F95" s="49" t="s">
        <v>384</v>
      </c>
      <c r="G95" s="45"/>
      <c r="H95" s="46">
        <v>1.0</v>
      </c>
      <c r="I95" s="46">
        <v>1.0</v>
      </c>
      <c r="J95" s="47" t="s">
        <v>78</v>
      </c>
      <c r="K95" s="45"/>
      <c r="L95" s="48" t="s">
        <v>217</v>
      </c>
      <c r="M95" s="45"/>
      <c r="N95" s="45"/>
      <c r="O95" s="46"/>
      <c r="P95" s="45"/>
      <c r="Q95" s="45"/>
      <c r="R95" s="66" t="s">
        <v>305</v>
      </c>
      <c r="S95" s="45"/>
      <c r="T95" s="45"/>
      <c r="U95" s="45"/>
      <c r="V95" s="45"/>
      <c r="W95" s="45"/>
      <c r="X95" s="45"/>
      <c r="Y95" s="45"/>
      <c r="Z95" s="45"/>
      <c r="AA95" s="89"/>
      <c r="AB95" s="90"/>
      <c r="AC95" s="90"/>
      <c r="AD95" s="90"/>
      <c r="AE95" s="90"/>
      <c r="AF95" s="90"/>
      <c r="AG95" s="90"/>
      <c r="AH95" s="90"/>
      <c r="AI95" s="90"/>
      <c r="AJ95" s="90"/>
      <c r="AK95" s="90"/>
      <c r="AL95" s="90"/>
      <c r="AM95" s="90"/>
      <c r="AN95" s="90"/>
      <c r="AO95" s="90"/>
      <c r="AP95" s="90"/>
      <c r="AQ95" s="90"/>
    </row>
    <row r="96" ht="14.25" customHeight="1" outlineLevel="1">
      <c r="A96" s="45" t="str">
        <f t="shared" si="12"/>
        <v>sacs:PersonneMorale_agentHasOrHadLocation</v>
      </c>
      <c r="B96" s="48" t="s">
        <v>379</v>
      </c>
      <c r="C96" s="48" t="s">
        <v>162</v>
      </c>
      <c r="D96" s="45"/>
      <c r="E96" s="118" t="s">
        <v>380</v>
      </c>
      <c r="F96" s="49" t="s">
        <v>481</v>
      </c>
      <c r="G96" s="45"/>
      <c r="H96" s="45"/>
      <c r="I96" s="45"/>
      <c r="J96" s="47" t="s">
        <v>78</v>
      </c>
      <c r="K96" s="57"/>
      <c r="L96" s="48" t="s">
        <v>130</v>
      </c>
      <c r="M96" s="45"/>
      <c r="N96" s="45"/>
      <c r="O96" s="45"/>
      <c r="P96" s="45"/>
      <c r="Q96" s="45"/>
      <c r="R96" s="59" t="s">
        <v>327</v>
      </c>
      <c r="S96" s="45"/>
      <c r="T96" s="45"/>
      <c r="U96" s="45"/>
      <c r="V96" s="45"/>
      <c r="W96" s="45"/>
      <c r="X96" s="45"/>
      <c r="Y96" s="45"/>
      <c r="Z96" s="45"/>
      <c r="AA96" s="89"/>
      <c r="AB96" s="90"/>
      <c r="AC96" s="90"/>
      <c r="AD96" s="90"/>
      <c r="AE96" s="90"/>
      <c r="AF96" s="90"/>
      <c r="AG96" s="90"/>
      <c r="AH96" s="90"/>
      <c r="AI96" s="90"/>
      <c r="AJ96" s="90"/>
      <c r="AK96" s="90"/>
      <c r="AL96" s="90"/>
      <c r="AM96" s="90"/>
      <c r="AN96" s="90"/>
      <c r="AO96" s="90"/>
      <c r="AP96" s="90"/>
      <c r="AQ96" s="90"/>
    </row>
    <row r="97" ht="14.25" customHeight="1" outlineLevel="1">
      <c r="A97" s="45"/>
      <c r="C97" s="45"/>
      <c r="D97" s="45"/>
      <c r="E97" s="45"/>
      <c r="F97" s="54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89"/>
      <c r="AB97" s="90"/>
      <c r="AC97" s="90"/>
      <c r="AD97" s="90"/>
      <c r="AE97" s="90"/>
      <c r="AF97" s="90"/>
      <c r="AG97" s="90"/>
      <c r="AH97" s="90"/>
      <c r="AI97" s="90"/>
      <c r="AJ97" s="90"/>
      <c r="AK97" s="90"/>
      <c r="AL97" s="90"/>
      <c r="AM97" s="90"/>
      <c r="AN97" s="90"/>
      <c r="AO97" s="90"/>
      <c r="AP97" s="90"/>
      <c r="AQ97" s="90"/>
    </row>
    <row r="98" ht="14.25" customHeight="1" outlineLevel="1">
      <c r="A98" s="108" t="s">
        <v>482</v>
      </c>
      <c r="B98" s="109" t="s">
        <v>483</v>
      </c>
      <c r="C98" s="108" t="s">
        <v>162</v>
      </c>
      <c r="D98" s="110"/>
      <c r="E98" s="109" t="s">
        <v>484</v>
      </c>
      <c r="F98" s="111" t="s">
        <v>485</v>
      </c>
      <c r="G98" s="110"/>
      <c r="H98" s="112"/>
      <c r="I98" s="112"/>
      <c r="J98" s="113" t="s">
        <v>78</v>
      </c>
      <c r="K98" s="110"/>
      <c r="L98" s="110"/>
      <c r="M98" s="109" t="s">
        <v>135</v>
      </c>
      <c r="N98" s="114"/>
      <c r="O98" s="106"/>
      <c r="P98" s="106"/>
      <c r="Q98" s="106"/>
      <c r="R98" s="115"/>
      <c r="S98" s="106"/>
      <c r="T98" s="106"/>
      <c r="U98" s="106"/>
      <c r="V98" s="106"/>
      <c r="W98" s="106"/>
      <c r="X98" s="106"/>
      <c r="Y98" s="106"/>
      <c r="Z98" s="106"/>
      <c r="AA98" s="116"/>
      <c r="AB98" s="117"/>
      <c r="AC98" s="117"/>
      <c r="AD98" s="117"/>
      <c r="AE98" s="117"/>
      <c r="AF98" s="117"/>
      <c r="AG98" s="117"/>
      <c r="AH98" s="117"/>
      <c r="AI98" s="117"/>
      <c r="AJ98" s="117"/>
      <c r="AK98" s="117"/>
      <c r="AL98" s="117"/>
      <c r="AM98" s="117"/>
      <c r="AN98" s="117"/>
      <c r="AO98" s="117"/>
      <c r="AP98" s="117"/>
      <c r="AQ98" s="117"/>
    </row>
    <row r="99" ht="14.25" customHeight="1" outlineLevel="1">
      <c r="A99" s="45"/>
      <c r="C99" s="45"/>
      <c r="D99" s="45"/>
      <c r="E99" s="45"/>
      <c r="F99" s="54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89"/>
      <c r="AB99" s="90"/>
      <c r="AC99" s="90"/>
      <c r="AD99" s="90"/>
      <c r="AE99" s="90"/>
      <c r="AF99" s="90"/>
      <c r="AG99" s="90"/>
      <c r="AH99" s="90"/>
      <c r="AI99" s="90"/>
      <c r="AJ99" s="90"/>
      <c r="AK99" s="90"/>
      <c r="AL99" s="90"/>
      <c r="AM99" s="90"/>
      <c r="AN99" s="90"/>
      <c r="AO99" s="90"/>
      <c r="AP99" s="90"/>
      <c r="AQ99" s="90"/>
    </row>
    <row r="100" ht="14.25" customHeight="1">
      <c r="A100" s="92" t="s">
        <v>167</v>
      </c>
      <c r="B100" s="55"/>
      <c r="C100" s="55"/>
      <c r="D100" s="55"/>
      <c r="E100" s="55"/>
      <c r="F100" s="56"/>
      <c r="G100" s="55"/>
      <c r="H100" s="56"/>
      <c r="I100" s="56"/>
      <c r="J100" s="55"/>
      <c r="K100" s="55"/>
      <c r="L100" s="55"/>
      <c r="M100" s="56"/>
      <c r="N100" s="56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86"/>
      <c r="AB100" s="87"/>
      <c r="AC100" s="87"/>
      <c r="AD100" s="87"/>
      <c r="AE100" s="87"/>
      <c r="AF100" s="87"/>
      <c r="AG100" s="87"/>
      <c r="AH100" s="87"/>
      <c r="AI100" s="87"/>
      <c r="AJ100" s="87"/>
      <c r="AK100" s="87"/>
      <c r="AL100" s="87"/>
      <c r="AM100" s="87"/>
      <c r="AN100" s="87"/>
      <c r="AO100" s="87"/>
      <c r="AP100" s="87"/>
      <c r="AQ100" s="87"/>
    </row>
    <row r="101" ht="14.25" customHeight="1" outlineLevel="1">
      <c r="A101" s="45" t="str">
        <f t="shared" ref="A101:A103" si="13">CONCATENATE("sacs:",RIGHT(C101,LEN(C101)-SEARCH(":",C101)),"_", RIGHT(B101,LEN(B101)-SEARCH(":", B101)) )</f>
        <v>sacs:PersonnePhysique_name</v>
      </c>
      <c r="B101" s="48" t="s">
        <v>297</v>
      </c>
      <c r="C101" s="48" t="s">
        <v>168</v>
      </c>
      <c r="D101" s="57"/>
      <c r="E101" s="48" t="s">
        <v>374</v>
      </c>
      <c r="F101" s="49" t="s">
        <v>486</v>
      </c>
      <c r="G101" s="57"/>
      <c r="H101" s="67">
        <v>1.0</v>
      </c>
      <c r="I101" s="67">
        <v>1.0</v>
      </c>
      <c r="J101" s="47" t="s">
        <v>240</v>
      </c>
      <c r="K101" s="53" t="s">
        <v>314</v>
      </c>
      <c r="L101" s="57"/>
      <c r="M101" s="46" t="s">
        <v>237</v>
      </c>
      <c r="N101" s="57"/>
      <c r="O101" s="45"/>
      <c r="P101" s="45"/>
      <c r="Q101" s="88" t="s">
        <v>300</v>
      </c>
      <c r="R101" s="57" t="s">
        <v>301</v>
      </c>
      <c r="S101" s="45"/>
      <c r="T101" s="45"/>
      <c r="U101" s="45"/>
      <c r="V101" s="45"/>
      <c r="W101" s="45"/>
      <c r="X101" s="45"/>
      <c r="Y101" s="45"/>
      <c r="Z101" s="45"/>
      <c r="AA101" s="89"/>
      <c r="AB101" s="90"/>
      <c r="AC101" s="90"/>
      <c r="AD101" s="90"/>
      <c r="AE101" s="90"/>
      <c r="AF101" s="90"/>
      <c r="AG101" s="90"/>
      <c r="AH101" s="90"/>
      <c r="AI101" s="90"/>
      <c r="AJ101" s="90"/>
      <c r="AK101" s="90"/>
      <c r="AL101" s="90"/>
      <c r="AM101" s="90"/>
      <c r="AN101" s="90"/>
      <c r="AO101" s="90"/>
      <c r="AP101" s="90"/>
      <c r="AQ101" s="90"/>
    </row>
    <row r="102" ht="14.25" customHeight="1" outlineLevel="1">
      <c r="A102" s="45" t="str">
        <f t="shared" si="13"/>
        <v>sacs:PersonnePhysique_hasOrHadOccupationOfType</v>
      </c>
      <c r="B102" s="48" t="s">
        <v>487</v>
      </c>
      <c r="C102" s="48" t="s">
        <v>168</v>
      </c>
      <c r="D102" s="57"/>
      <c r="E102" s="48" t="s">
        <v>488</v>
      </c>
      <c r="F102" s="49" t="s">
        <v>489</v>
      </c>
      <c r="G102" s="57"/>
      <c r="H102" s="67">
        <v>1.0</v>
      </c>
      <c r="I102" s="67"/>
      <c r="J102" s="47" t="s">
        <v>78</v>
      </c>
      <c r="K102" s="57"/>
      <c r="L102" s="57" t="s">
        <v>197</v>
      </c>
      <c r="M102" s="57"/>
      <c r="N102" s="57"/>
      <c r="O102" s="45"/>
      <c r="P102" s="45"/>
      <c r="Q102" s="45"/>
      <c r="R102" s="66" t="s">
        <v>305</v>
      </c>
      <c r="S102" s="45"/>
      <c r="T102" s="45"/>
      <c r="U102" s="45"/>
      <c r="V102" s="45"/>
      <c r="W102" s="45"/>
      <c r="X102" s="45"/>
      <c r="Y102" s="45"/>
      <c r="Z102" s="45"/>
      <c r="AA102" s="89"/>
      <c r="AB102" s="90"/>
      <c r="AC102" s="90"/>
      <c r="AD102" s="90"/>
      <c r="AE102" s="90"/>
      <c r="AF102" s="90"/>
      <c r="AG102" s="90"/>
      <c r="AH102" s="90"/>
      <c r="AI102" s="90"/>
      <c r="AJ102" s="90"/>
      <c r="AK102" s="90"/>
      <c r="AL102" s="90"/>
      <c r="AM102" s="90"/>
      <c r="AN102" s="90"/>
      <c r="AO102" s="90"/>
      <c r="AP102" s="90"/>
      <c r="AQ102" s="90"/>
    </row>
    <row r="103" ht="14.25" customHeight="1" outlineLevel="1">
      <c r="A103" s="45" t="str">
        <f t="shared" si="13"/>
        <v>sacs:PersonnePhysique_hasOrHadDemographicGroup</v>
      </c>
      <c r="B103" s="48" t="s">
        <v>490</v>
      </c>
      <c r="C103" s="48" t="s">
        <v>168</v>
      </c>
      <c r="D103" s="45"/>
      <c r="E103" s="46" t="s">
        <v>491</v>
      </c>
      <c r="F103" s="107" t="s">
        <v>492</v>
      </c>
      <c r="G103" s="45"/>
      <c r="H103" s="67">
        <v>1.0</v>
      </c>
      <c r="I103" s="67">
        <v>1.0</v>
      </c>
      <c r="J103" s="47" t="s">
        <v>78</v>
      </c>
      <c r="K103" s="45"/>
      <c r="L103" s="45"/>
      <c r="M103" s="46" t="s">
        <v>211</v>
      </c>
      <c r="N103" s="45"/>
      <c r="O103" s="46"/>
      <c r="P103" s="45"/>
      <c r="Q103" s="45"/>
      <c r="R103" s="66" t="s">
        <v>305</v>
      </c>
      <c r="S103" s="45"/>
      <c r="T103" s="45"/>
      <c r="U103" s="45"/>
      <c r="V103" s="45"/>
      <c r="W103" s="45"/>
      <c r="X103" s="45"/>
      <c r="Y103" s="45"/>
      <c r="Z103" s="45"/>
      <c r="AA103" s="89"/>
      <c r="AB103" s="90"/>
      <c r="AC103" s="90"/>
      <c r="AD103" s="90"/>
      <c r="AE103" s="90"/>
      <c r="AF103" s="90"/>
      <c r="AG103" s="90"/>
      <c r="AH103" s="90"/>
      <c r="AI103" s="90"/>
      <c r="AJ103" s="90"/>
      <c r="AK103" s="90"/>
      <c r="AL103" s="90"/>
      <c r="AM103" s="90"/>
      <c r="AN103" s="90"/>
      <c r="AO103" s="90"/>
      <c r="AP103" s="90"/>
      <c r="AQ103" s="90"/>
    </row>
    <row r="104" ht="14.25" customHeight="1" outlineLevel="1">
      <c r="A104" s="45"/>
      <c r="B104" s="45"/>
      <c r="C104" s="45"/>
      <c r="D104" s="45"/>
      <c r="E104" s="45"/>
      <c r="F104" s="54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89"/>
      <c r="AB104" s="90"/>
      <c r="AC104" s="90"/>
      <c r="AD104" s="90"/>
      <c r="AE104" s="90"/>
      <c r="AF104" s="90"/>
      <c r="AG104" s="90"/>
      <c r="AH104" s="90"/>
      <c r="AI104" s="90"/>
      <c r="AJ104" s="90"/>
      <c r="AK104" s="90"/>
      <c r="AL104" s="90"/>
      <c r="AM104" s="90"/>
      <c r="AN104" s="90"/>
      <c r="AO104" s="90"/>
      <c r="AP104" s="90"/>
      <c r="AQ104" s="90"/>
    </row>
    <row r="105" ht="14.25" customHeight="1" outlineLevel="1">
      <c r="A105" s="108" t="s">
        <v>493</v>
      </c>
      <c r="B105" s="109" t="s">
        <v>483</v>
      </c>
      <c r="C105" s="108" t="s">
        <v>168</v>
      </c>
      <c r="D105" s="110"/>
      <c r="E105" s="109" t="s">
        <v>484</v>
      </c>
      <c r="F105" s="111" t="s">
        <v>494</v>
      </c>
      <c r="G105" s="110"/>
      <c r="H105" s="112"/>
      <c r="I105" s="112"/>
      <c r="J105" s="113" t="s">
        <v>78</v>
      </c>
      <c r="K105" s="110"/>
      <c r="L105" s="110"/>
      <c r="M105" s="109" t="s">
        <v>135</v>
      </c>
      <c r="N105" s="114"/>
      <c r="O105" s="106"/>
      <c r="P105" s="106"/>
      <c r="Q105" s="106"/>
      <c r="R105" s="115"/>
      <c r="S105" s="106"/>
      <c r="T105" s="106"/>
      <c r="U105" s="106"/>
      <c r="V105" s="106"/>
      <c r="W105" s="106"/>
      <c r="X105" s="106"/>
      <c r="Y105" s="106"/>
      <c r="Z105" s="106"/>
      <c r="AA105" s="116"/>
      <c r="AB105" s="117"/>
      <c r="AC105" s="117"/>
      <c r="AD105" s="117"/>
      <c r="AE105" s="117"/>
      <c r="AF105" s="117"/>
      <c r="AG105" s="117"/>
      <c r="AH105" s="117"/>
      <c r="AI105" s="117"/>
      <c r="AJ105" s="117"/>
      <c r="AK105" s="117"/>
      <c r="AL105" s="117"/>
      <c r="AM105" s="117"/>
      <c r="AN105" s="117"/>
      <c r="AO105" s="117"/>
      <c r="AP105" s="117"/>
      <c r="AQ105" s="117"/>
    </row>
    <row r="106" ht="14.25" customHeight="1" outlineLevel="1">
      <c r="A106" s="45"/>
      <c r="B106" s="45"/>
      <c r="C106" s="45"/>
      <c r="D106" s="45"/>
      <c r="E106" s="45"/>
      <c r="F106" s="54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89"/>
      <c r="AB106" s="90"/>
      <c r="AC106" s="90"/>
      <c r="AD106" s="90"/>
      <c r="AE106" s="90"/>
      <c r="AF106" s="90"/>
      <c r="AG106" s="90"/>
      <c r="AH106" s="90"/>
      <c r="AI106" s="90"/>
      <c r="AJ106" s="90"/>
      <c r="AK106" s="90"/>
      <c r="AL106" s="90"/>
      <c r="AM106" s="90"/>
      <c r="AN106" s="90"/>
      <c r="AO106" s="90"/>
      <c r="AP106" s="90"/>
      <c r="AQ106" s="90"/>
    </row>
    <row r="107" ht="14.25" customHeight="1" outlineLevel="1">
      <c r="A107" s="45"/>
      <c r="B107" s="45"/>
      <c r="C107" s="45"/>
      <c r="D107" s="45"/>
      <c r="E107" s="45"/>
      <c r="F107" s="54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89"/>
      <c r="AB107" s="90"/>
      <c r="AC107" s="90"/>
      <c r="AD107" s="90"/>
      <c r="AE107" s="90"/>
      <c r="AF107" s="90"/>
      <c r="AG107" s="90"/>
      <c r="AH107" s="90"/>
      <c r="AI107" s="90"/>
      <c r="AJ107" s="90"/>
      <c r="AK107" s="90"/>
      <c r="AL107" s="90"/>
      <c r="AM107" s="90"/>
      <c r="AN107" s="90"/>
      <c r="AO107" s="90"/>
      <c r="AP107" s="90"/>
      <c r="AQ107" s="90"/>
    </row>
    <row r="108" ht="14.25" customHeight="1" outlineLevel="1">
      <c r="A108" s="45"/>
      <c r="B108" s="45"/>
      <c r="C108" s="45"/>
      <c r="D108" s="45"/>
      <c r="E108" s="45"/>
      <c r="F108" s="54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89"/>
      <c r="AB108" s="90"/>
      <c r="AC108" s="90"/>
      <c r="AD108" s="90"/>
      <c r="AE108" s="90"/>
      <c r="AF108" s="90"/>
      <c r="AG108" s="90"/>
      <c r="AH108" s="90"/>
      <c r="AI108" s="90"/>
      <c r="AJ108" s="90"/>
      <c r="AK108" s="90"/>
      <c r="AL108" s="90"/>
      <c r="AM108" s="90"/>
      <c r="AN108" s="90"/>
      <c r="AO108" s="90"/>
      <c r="AP108" s="90"/>
      <c r="AQ108" s="90"/>
    </row>
    <row r="109" ht="13.5" customHeight="1">
      <c r="A109" s="92" t="s">
        <v>140</v>
      </c>
      <c r="B109" s="55"/>
      <c r="C109" s="55"/>
      <c r="D109" s="55"/>
      <c r="E109" s="55"/>
      <c r="F109" s="56"/>
      <c r="G109" s="55"/>
      <c r="H109" s="56"/>
      <c r="I109" s="56"/>
      <c r="J109" s="55"/>
      <c r="K109" s="55"/>
      <c r="L109" s="55"/>
      <c r="M109" s="56"/>
      <c r="N109" s="56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86"/>
      <c r="AB109" s="87"/>
      <c r="AC109" s="87"/>
      <c r="AD109" s="87"/>
      <c r="AE109" s="87"/>
      <c r="AF109" s="87"/>
      <c r="AG109" s="87"/>
      <c r="AH109" s="87"/>
      <c r="AI109" s="87"/>
      <c r="AJ109" s="87"/>
      <c r="AK109" s="87"/>
      <c r="AL109" s="87"/>
      <c r="AM109" s="87"/>
      <c r="AN109" s="87"/>
      <c r="AO109" s="87"/>
      <c r="AP109" s="87"/>
      <c r="AQ109" s="87"/>
    </row>
    <row r="110" ht="14.25" customHeight="1" outlineLevel="1">
      <c r="A110" s="93" t="str">
        <f t="shared" ref="A110:A114" si="14">CONCATENATE("sacs:",RIGHT(C110,LEN(C110)-SEARCH(":",C110)),"_", RIGHT(B110,LEN(B110)-SEARCH(":", B110)) )</f>
        <v>sacs:Traitement_name</v>
      </c>
      <c r="B110" s="104" t="s">
        <v>297</v>
      </c>
      <c r="C110" s="104" t="s">
        <v>141</v>
      </c>
      <c r="D110" s="104"/>
      <c r="E110" s="94" t="s">
        <v>315</v>
      </c>
      <c r="F110" s="96" t="s">
        <v>495</v>
      </c>
      <c r="G110" s="104"/>
      <c r="H110" s="97">
        <v>1.0</v>
      </c>
      <c r="I110" s="97">
        <v>1.0</v>
      </c>
      <c r="J110" s="98" t="s">
        <v>240</v>
      </c>
      <c r="K110" s="98" t="s">
        <v>314</v>
      </c>
      <c r="L110" s="104"/>
      <c r="M110" s="93" t="s">
        <v>237</v>
      </c>
      <c r="N110" s="93"/>
      <c r="O110" s="93"/>
      <c r="P110" s="93"/>
      <c r="Q110" s="100" t="s">
        <v>300</v>
      </c>
      <c r="R110" s="57" t="s">
        <v>301</v>
      </c>
      <c r="S110" s="93"/>
      <c r="T110" s="93"/>
      <c r="U110" s="93"/>
      <c r="V110" s="93"/>
      <c r="W110" s="93"/>
      <c r="X110" s="93"/>
      <c r="Y110" s="93"/>
      <c r="Z110" s="93"/>
      <c r="AA110" s="105"/>
      <c r="AB110" s="102"/>
      <c r="AC110" s="102"/>
      <c r="AD110" s="102"/>
      <c r="AE110" s="102"/>
      <c r="AF110" s="102"/>
      <c r="AG110" s="102"/>
      <c r="AH110" s="102"/>
      <c r="AI110" s="102"/>
      <c r="AJ110" s="102"/>
      <c r="AK110" s="102"/>
      <c r="AL110" s="102"/>
      <c r="AM110" s="102"/>
      <c r="AN110" s="102"/>
      <c r="AO110" s="102"/>
      <c r="AP110" s="102"/>
      <c r="AQ110" s="102"/>
    </row>
    <row r="111" ht="14.25" customHeight="1" outlineLevel="1">
      <c r="A111" s="45" t="str">
        <f t="shared" si="14"/>
        <v>sacs:Traitement_hasActivityType</v>
      </c>
      <c r="B111" s="48" t="s">
        <v>353</v>
      </c>
      <c r="C111" s="45" t="s">
        <v>141</v>
      </c>
      <c r="D111" s="45"/>
      <c r="E111" s="46" t="s">
        <v>354</v>
      </c>
      <c r="F111" s="49" t="s">
        <v>355</v>
      </c>
      <c r="G111" s="45"/>
      <c r="H111" s="46">
        <v>1.0</v>
      </c>
      <c r="I111" s="46">
        <v>1.0</v>
      </c>
      <c r="J111" s="47" t="s">
        <v>78</v>
      </c>
      <c r="K111" s="45"/>
      <c r="L111" s="48" t="s">
        <v>202</v>
      </c>
      <c r="M111" s="45"/>
      <c r="N111" s="45"/>
      <c r="O111" s="46" t="s">
        <v>496</v>
      </c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89"/>
      <c r="AB111" s="90"/>
      <c r="AC111" s="90"/>
      <c r="AD111" s="90"/>
      <c r="AE111" s="90"/>
      <c r="AF111" s="90"/>
      <c r="AG111" s="90"/>
      <c r="AH111" s="90"/>
      <c r="AI111" s="90"/>
      <c r="AJ111" s="90"/>
      <c r="AK111" s="90"/>
      <c r="AL111" s="90"/>
      <c r="AM111" s="90"/>
      <c r="AN111" s="90"/>
      <c r="AO111" s="90"/>
      <c r="AP111" s="90"/>
      <c r="AQ111" s="90"/>
    </row>
    <row r="112" ht="14.25" customHeight="1" outlineLevel="1">
      <c r="A112" s="45" t="str">
        <f t="shared" si="14"/>
        <v>sacs:Traitement_hasDirectSubevent</v>
      </c>
      <c r="B112" s="48" t="s">
        <v>497</v>
      </c>
      <c r="C112" s="45" t="s">
        <v>141</v>
      </c>
      <c r="D112" s="45"/>
      <c r="E112" s="46" t="s">
        <v>498</v>
      </c>
      <c r="F112" s="54"/>
      <c r="G112" s="45"/>
      <c r="H112" s="46">
        <v>2.0</v>
      </c>
      <c r="I112" s="45"/>
      <c r="J112" s="47" t="s">
        <v>78</v>
      </c>
      <c r="K112" s="45"/>
      <c r="L112" s="46"/>
      <c r="M112" s="48" t="s">
        <v>499</v>
      </c>
      <c r="N112" s="45"/>
      <c r="O112" s="45"/>
      <c r="P112" s="45"/>
      <c r="Q112" s="45"/>
      <c r="R112" s="59" t="s">
        <v>334</v>
      </c>
      <c r="S112" s="45"/>
      <c r="T112" s="45"/>
      <c r="U112" s="45"/>
      <c r="V112" s="45"/>
      <c r="W112" s="45"/>
      <c r="X112" s="45"/>
      <c r="Y112" s="45"/>
      <c r="Z112" s="45"/>
      <c r="AA112" s="89"/>
      <c r="AB112" s="90"/>
      <c r="AC112" s="90"/>
      <c r="AD112" s="90"/>
      <c r="AE112" s="90"/>
      <c r="AF112" s="90"/>
      <c r="AG112" s="90"/>
      <c r="AH112" s="90"/>
      <c r="AI112" s="90"/>
      <c r="AJ112" s="90"/>
      <c r="AK112" s="90"/>
      <c r="AL112" s="90"/>
      <c r="AM112" s="90"/>
      <c r="AN112" s="90"/>
      <c r="AO112" s="90"/>
      <c r="AP112" s="90"/>
      <c r="AQ112" s="90"/>
    </row>
    <row r="113" ht="14.25" customHeight="1" outlineLevel="1">
      <c r="A113" s="45" t="str">
        <f t="shared" si="14"/>
        <v>sacs:Traitement_isAssociatedWithDate</v>
      </c>
      <c r="B113" s="48" t="s">
        <v>500</v>
      </c>
      <c r="C113" s="45" t="s">
        <v>141</v>
      </c>
      <c r="D113" s="45"/>
      <c r="E113" s="46" t="s">
        <v>501</v>
      </c>
      <c r="F113" s="54"/>
      <c r="G113" s="45"/>
      <c r="H113" s="45"/>
      <c r="I113" s="45"/>
      <c r="J113" s="47" t="s">
        <v>78</v>
      </c>
      <c r="K113" s="45"/>
      <c r="L113" s="48" t="s">
        <v>86</v>
      </c>
      <c r="M113" s="45"/>
      <c r="N113" s="45"/>
      <c r="O113" s="45"/>
      <c r="P113" s="45"/>
      <c r="Q113" s="45"/>
      <c r="R113" s="59" t="s">
        <v>334</v>
      </c>
      <c r="S113" s="45"/>
      <c r="T113" s="45"/>
      <c r="U113" s="45"/>
      <c r="V113" s="45"/>
      <c r="W113" s="45"/>
      <c r="X113" s="45"/>
      <c r="Y113" s="45"/>
      <c r="Z113" s="45"/>
      <c r="AA113" s="89"/>
      <c r="AB113" s="90"/>
      <c r="AC113" s="90"/>
      <c r="AD113" s="90"/>
      <c r="AE113" s="90"/>
      <c r="AF113" s="90"/>
      <c r="AG113" s="90"/>
      <c r="AH113" s="90"/>
      <c r="AI113" s="90"/>
      <c r="AJ113" s="90"/>
      <c r="AK113" s="90"/>
      <c r="AL113" s="90"/>
      <c r="AM113" s="90"/>
      <c r="AN113" s="90"/>
      <c r="AO113" s="90"/>
      <c r="AP113" s="90"/>
      <c r="AQ113" s="90"/>
    </row>
    <row r="114" ht="14.25" customHeight="1" outlineLevel="1">
      <c r="A114" s="45" t="str">
        <f t="shared" si="14"/>
        <v>sacs:Traitement_hasOrHadIdentifier</v>
      </c>
      <c r="B114" s="48" t="s">
        <v>331</v>
      </c>
      <c r="C114" s="45" t="s">
        <v>141</v>
      </c>
      <c r="D114" s="57"/>
      <c r="E114" s="48" t="s">
        <v>502</v>
      </c>
      <c r="F114" s="49" t="s">
        <v>503</v>
      </c>
      <c r="G114" s="57"/>
      <c r="H114" s="67">
        <v>1.0</v>
      </c>
      <c r="I114" s="67">
        <v>1.0</v>
      </c>
      <c r="J114" s="47" t="s">
        <v>78</v>
      </c>
      <c r="K114" s="57"/>
      <c r="L114" s="48" t="s">
        <v>75</v>
      </c>
      <c r="M114" s="57"/>
      <c r="N114" s="57"/>
      <c r="O114" s="45"/>
      <c r="P114" s="45"/>
      <c r="Q114" s="45"/>
      <c r="R114" s="59" t="s">
        <v>334</v>
      </c>
      <c r="S114" s="45"/>
      <c r="T114" s="45"/>
      <c r="U114" s="45"/>
      <c r="V114" s="45"/>
      <c r="W114" s="45"/>
      <c r="X114" s="45"/>
      <c r="Y114" s="45"/>
      <c r="Z114" s="45"/>
      <c r="AA114" s="89"/>
      <c r="AB114" s="90"/>
      <c r="AC114" s="90"/>
      <c r="AD114" s="90"/>
      <c r="AE114" s="90"/>
      <c r="AF114" s="90"/>
      <c r="AG114" s="90"/>
      <c r="AH114" s="90"/>
      <c r="AI114" s="90"/>
      <c r="AJ114" s="90"/>
      <c r="AK114" s="90"/>
      <c r="AL114" s="90"/>
      <c r="AM114" s="90"/>
      <c r="AN114" s="90"/>
      <c r="AO114" s="90"/>
      <c r="AP114" s="90"/>
      <c r="AQ114" s="90"/>
    </row>
    <row r="115" ht="14.25" customHeight="1" outlineLevel="1">
      <c r="A115" s="45"/>
      <c r="B115" s="48"/>
      <c r="C115" s="45"/>
      <c r="D115" s="57"/>
      <c r="E115" s="48"/>
      <c r="F115" s="49"/>
      <c r="G115" s="57"/>
      <c r="H115" s="67"/>
      <c r="I115" s="67"/>
      <c r="J115" s="47"/>
      <c r="K115" s="57"/>
      <c r="L115" s="48"/>
      <c r="M115" s="57"/>
      <c r="N115" s="57"/>
      <c r="O115" s="45"/>
      <c r="P115" s="45"/>
      <c r="Q115" s="45"/>
      <c r="R115" s="59"/>
      <c r="S115" s="45"/>
      <c r="T115" s="45"/>
      <c r="U115" s="45"/>
      <c r="V115" s="45"/>
      <c r="W115" s="45"/>
      <c r="X115" s="45"/>
      <c r="Y115" s="45"/>
      <c r="Z115" s="45"/>
      <c r="AA115" s="89"/>
      <c r="AB115" s="90"/>
      <c r="AC115" s="90"/>
      <c r="AD115" s="90"/>
      <c r="AE115" s="90"/>
      <c r="AF115" s="90"/>
      <c r="AG115" s="90"/>
      <c r="AH115" s="90"/>
      <c r="AI115" s="90"/>
      <c r="AJ115" s="90"/>
      <c r="AK115" s="90"/>
      <c r="AL115" s="90"/>
      <c r="AM115" s="90"/>
      <c r="AN115" s="90"/>
      <c r="AO115" s="90"/>
      <c r="AP115" s="90"/>
      <c r="AQ115" s="90"/>
    </row>
    <row r="116" ht="13.5" customHeight="1" outlineLevel="1">
      <c r="A116" s="45"/>
      <c r="B116" s="45"/>
      <c r="C116" s="45"/>
      <c r="D116" s="45"/>
      <c r="E116" s="45"/>
      <c r="F116" s="54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89"/>
      <c r="AB116" s="90"/>
      <c r="AC116" s="90"/>
      <c r="AD116" s="90"/>
      <c r="AE116" s="90"/>
      <c r="AF116" s="90"/>
      <c r="AG116" s="90"/>
      <c r="AH116" s="90"/>
      <c r="AI116" s="90"/>
      <c r="AJ116" s="90"/>
      <c r="AK116" s="90"/>
      <c r="AL116" s="90"/>
      <c r="AM116" s="90"/>
      <c r="AN116" s="90"/>
      <c r="AO116" s="90"/>
      <c r="AP116" s="90"/>
      <c r="AQ116" s="90"/>
    </row>
    <row r="117" ht="14.25" customHeight="1" outlineLevel="1">
      <c r="A117" s="60" t="s">
        <v>146</v>
      </c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</row>
    <row r="118" ht="14.25" customHeight="1" outlineLevel="1">
      <c r="A118" s="45" t="str">
        <f t="shared" ref="A118:A119" si="15">CONCATENATE("sacs:",RIGHT(C118,LEN(C118)-SEARCH(":",C118)),"_", RIGHT(B118,LEN(B118)-SEARCH(":", B118)) )</f>
        <v>sacs:Depouillement_hasActivityType</v>
      </c>
      <c r="B118" s="48" t="s">
        <v>353</v>
      </c>
      <c r="C118" s="45" t="s">
        <v>147</v>
      </c>
      <c r="D118" s="45"/>
      <c r="E118" s="46" t="s">
        <v>354</v>
      </c>
      <c r="F118" s="49" t="s">
        <v>355</v>
      </c>
      <c r="G118" s="45"/>
      <c r="H118" s="46">
        <v>1.0</v>
      </c>
      <c r="I118" s="46">
        <v>1.0</v>
      </c>
      <c r="J118" s="47" t="s">
        <v>78</v>
      </c>
      <c r="K118" s="45"/>
      <c r="L118" s="48" t="s">
        <v>202</v>
      </c>
      <c r="M118" s="45"/>
      <c r="N118" s="45"/>
      <c r="O118" s="46" t="s">
        <v>504</v>
      </c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89"/>
      <c r="AB118" s="90"/>
      <c r="AC118" s="90"/>
      <c r="AD118" s="90"/>
      <c r="AE118" s="90"/>
      <c r="AF118" s="90"/>
      <c r="AG118" s="90"/>
      <c r="AH118" s="90"/>
      <c r="AI118" s="90"/>
      <c r="AJ118" s="90"/>
      <c r="AK118" s="90"/>
      <c r="AL118" s="90"/>
      <c r="AM118" s="90"/>
      <c r="AN118" s="90"/>
      <c r="AO118" s="90"/>
      <c r="AP118" s="90"/>
      <c r="AQ118" s="90"/>
    </row>
    <row r="119" ht="14.25" customHeight="1" outlineLevel="1">
      <c r="A119" s="45" t="str">
        <f t="shared" si="15"/>
        <v>sacs:Depouillement_isOrWasPerformedByAgentWithOccupationOfType</v>
      </c>
      <c r="B119" s="46" t="s">
        <v>505</v>
      </c>
      <c r="C119" s="45" t="s">
        <v>147</v>
      </c>
      <c r="D119" s="45"/>
      <c r="E119" s="46" t="s">
        <v>506</v>
      </c>
      <c r="F119" s="54"/>
      <c r="G119" s="45"/>
      <c r="H119" s="45"/>
      <c r="I119" s="45"/>
      <c r="J119" s="47" t="s">
        <v>78</v>
      </c>
      <c r="K119" s="45"/>
      <c r="L119" s="57" t="s">
        <v>197</v>
      </c>
      <c r="M119" s="45"/>
      <c r="N119" s="45"/>
      <c r="O119" s="45"/>
      <c r="P119" s="45"/>
      <c r="Q119" s="45"/>
      <c r="R119" s="66" t="s">
        <v>305</v>
      </c>
      <c r="S119" s="45"/>
      <c r="T119" s="45"/>
      <c r="U119" s="45"/>
      <c r="V119" s="45"/>
      <c r="W119" s="45"/>
      <c r="X119" s="45"/>
      <c r="Y119" s="45"/>
      <c r="Z119" s="45"/>
      <c r="AA119" s="89"/>
      <c r="AB119" s="90"/>
      <c r="AC119" s="90"/>
      <c r="AD119" s="90"/>
      <c r="AE119" s="90"/>
      <c r="AF119" s="90"/>
      <c r="AG119" s="90"/>
      <c r="AH119" s="90"/>
      <c r="AI119" s="90"/>
      <c r="AJ119" s="90"/>
      <c r="AK119" s="90"/>
      <c r="AL119" s="90"/>
      <c r="AM119" s="90"/>
      <c r="AN119" s="90"/>
      <c r="AO119" s="90"/>
      <c r="AP119" s="90"/>
      <c r="AQ119" s="90"/>
    </row>
    <row r="120" ht="14.25" customHeight="1" outlineLevel="1">
      <c r="A120" s="45"/>
      <c r="B120" s="45"/>
      <c r="C120" s="45"/>
      <c r="D120" s="45"/>
      <c r="E120" s="45"/>
      <c r="F120" s="54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89"/>
      <c r="AB120" s="90"/>
      <c r="AC120" s="90"/>
      <c r="AD120" s="90"/>
      <c r="AE120" s="90"/>
      <c r="AF120" s="90"/>
      <c r="AG120" s="90"/>
      <c r="AH120" s="90"/>
      <c r="AI120" s="90"/>
      <c r="AJ120" s="90"/>
      <c r="AK120" s="90"/>
      <c r="AL120" s="90"/>
      <c r="AM120" s="90"/>
      <c r="AN120" s="90"/>
      <c r="AO120" s="90"/>
      <c r="AP120" s="90"/>
      <c r="AQ120" s="90"/>
    </row>
    <row r="121" ht="14.25" customHeight="1" outlineLevel="1">
      <c r="A121" s="60" t="s">
        <v>149</v>
      </c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  <c r="AL121" s="60"/>
      <c r="AM121" s="60"/>
      <c r="AN121" s="60"/>
      <c r="AO121" s="60"/>
      <c r="AP121" s="60"/>
      <c r="AQ121" s="60"/>
    </row>
    <row r="122" ht="14.25" customHeight="1" outlineLevel="1">
      <c r="A122" s="45" t="str">
        <f t="shared" ref="A122:A124" si="16">CONCATENATE("sacs:",RIGHT(C122,LEN(C122)-SEARCH(":",C122)),"_", RIGHT(B122,LEN(B122)-SEARCH(":", B122)) )</f>
        <v>sacs:Saisie_hasActivityType</v>
      </c>
      <c r="B122" s="48" t="s">
        <v>353</v>
      </c>
      <c r="C122" s="45" t="s">
        <v>150</v>
      </c>
      <c r="D122" s="45"/>
      <c r="E122" s="46" t="s">
        <v>354</v>
      </c>
      <c r="F122" s="49" t="s">
        <v>355</v>
      </c>
      <c r="G122" s="45"/>
      <c r="H122" s="46">
        <v>1.0</v>
      </c>
      <c r="I122" s="46">
        <v>1.0</v>
      </c>
      <c r="J122" s="47" t="s">
        <v>78</v>
      </c>
      <c r="K122" s="45"/>
      <c r="L122" s="48" t="s">
        <v>202</v>
      </c>
      <c r="M122" s="45"/>
      <c r="N122" s="45"/>
      <c r="O122" s="46" t="s">
        <v>507</v>
      </c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89"/>
      <c r="AB122" s="90"/>
      <c r="AC122" s="90"/>
      <c r="AD122" s="90"/>
      <c r="AE122" s="90"/>
      <c r="AF122" s="90"/>
      <c r="AG122" s="90"/>
      <c r="AH122" s="90"/>
      <c r="AI122" s="90"/>
      <c r="AJ122" s="90"/>
      <c r="AK122" s="90"/>
      <c r="AL122" s="90"/>
      <c r="AM122" s="90"/>
      <c r="AN122" s="90"/>
      <c r="AO122" s="90"/>
      <c r="AP122" s="90"/>
      <c r="AQ122" s="90"/>
    </row>
    <row r="123" ht="14.25" customHeight="1" outlineLevel="1">
      <c r="A123" s="45" t="str">
        <f t="shared" si="16"/>
        <v>sacs:Saisie_isOrWasPerformedByAgentWithOccupationOfType</v>
      </c>
      <c r="B123" s="46" t="s">
        <v>505</v>
      </c>
      <c r="C123" s="45" t="s">
        <v>150</v>
      </c>
      <c r="D123" s="45"/>
      <c r="E123" s="46" t="s">
        <v>506</v>
      </c>
      <c r="F123" s="54"/>
      <c r="G123" s="45"/>
      <c r="H123" s="45"/>
      <c r="I123" s="45"/>
      <c r="J123" s="47" t="s">
        <v>78</v>
      </c>
      <c r="K123" s="45"/>
      <c r="L123" s="57" t="s">
        <v>197</v>
      </c>
      <c r="M123" s="45"/>
      <c r="N123" s="45"/>
      <c r="O123" s="45"/>
      <c r="P123" s="45"/>
      <c r="Q123" s="45"/>
      <c r="R123" s="66" t="s">
        <v>305</v>
      </c>
      <c r="S123" s="45"/>
      <c r="T123" s="45"/>
      <c r="U123" s="45"/>
      <c r="V123" s="45"/>
      <c r="W123" s="45"/>
      <c r="X123" s="45"/>
      <c r="Y123" s="45"/>
      <c r="Z123" s="45"/>
      <c r="AA123" s="89"/>
      <c r="AB123" s="90"/>
      <c r="AC123" s="90"/>
      <c r="AD123" s="90"/>
      <c r="AE123" s="90"/>
      <c r="AF123" s="90"/>
      <c r="AG123" s="90"/>
      <c r="AH123" s="90"/>
      <c r="AI123" s="90"/>
      <c r="AJ123" s="90"/>
      <c r="AK123" s="90"/>
      <c r="AL123" s="90"/>
      <c r="AM123" s="90"/>
      <c r="AN123" s="90"/>
      <c r="AO123" s="90"/>
      <c r="AP123" s="90"/>
      <c r="AQ123" s="90"/>
    </row>
    <row r="124" ht="14.25" customHeight="1" outlineLevel="1">
      <c r="A124" s="45" t="str">
        <f t="shared" si="16"/>
        <v>sacs:Saisie_saisieDirecte</v>
      </c>
      <c r="B124" s="46" t="s">
        <v>508</v>
      </c>
      <c r="C124" s="45" t="s">
        <v>150</v>
      </c>
      <c r="D124" s="45"/>
      <c r="E124" s="46" t="s">
        <v>509</v>
      </c>
      <c r="F124" s="54"/>
      <c r="G124" s="45"/>
      <c r="H124" s="45"/>
      <c r="I124" s="46">
        <v>1.0</v>
      </c>
      <c r="J124" s="47" t="s">
        <v>240</v>
      </c>
      <c r="K124" s="46" t="s">
        <v>510</v>
      </c>
      <c r="L124" s="57"/>
      <c r="M124" s="70" t="s">
        <v>253</v>
      </c>
      <c r="N124" s="45"/>
      <c r="O124" s="45"/>
      <c r="P124" s="45"/>
      <c r="Q124" s="45"/>
      <c r="R124" s="66"/>
      <c r="S124" s="45"/>
      <c r="T124" s="45"/>
      <c r="U124" s="45"/>
      <c r="V124" s="45"/>
      <c r="W124" s="45"/>
      <c r="X124" s="45"/>
      <c r="Y124" s="45"/>
      <c r="Z124" s="45"/>
      <c r="AA124" s="89"/>
      <c r="AB124" s="90"/>
      <c r="AC124" s="90"/>
      <c r="AD124" s="90"/>
      <c r="AE124" s="90"/>
      <c r="AF124" s="90"/>
      <c r="AG124" s="90"/>
      <c r="AH124" s="90"/>
      <c r="AI124" s="90"/>
      <c r="AJ124" s="90"/>
      <c r="AK124" s="90"/>
      <c r="AL124" s="90"/>
      <c r="AM124" s="90"/>
      <c r="AN124" s="90"/>
      <c r="AO124" s="90"/>
      <c r="AP124" s="90"/>
      <c r="AQ124" s="90"/>
    </row>
    <row r="125" ht="14.25" customHeight="1" outlineLevel="1">
      <c r="A125" s="45"/>
      <c r="B125" s="45"/>
      <c r="C125" s="45"/>
      <c r="D125" s="45"/>
      <c r="E125" s="45"/>
      <c r="F125" s="54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89"/>
      <c r="AB125" s="90"/>
      <c r="AC125" s="90"/>
      <c r="AD125" s="90"/>
      <c r="AE125" s="90"/>
      <c r="AF125" s="90"/>
      <c r="AG125" s="90"/>
      <c r="AH125" s="90"/>
      <c r="AI125" s="90"/>
      <c r="AJ125" s="90"/>
      <c r="AK125" s="90"/>
      <c r="AL125" s="90"/>
      <c r="AM125" s="90"/>
      <c r="AN125" s="90"/>
      <c r="AO125" s="90"/>
      <c r="AP125" s="90"/>
      <c r="AQ125" s="90"/>
    </row>
    <row r="126" ht="14.25" customHeight="1" outlineLevel="1">
      <c r="A126" s="60" t="s">
        <v>152</v>
      </c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  <c r="AJ126" s="60"/>
      <c r="AK126" s="60"/>
      <c r="AL126" s="60"/>
      <c r="AM126" s="60"/>
      <c r="AN126" s="60"/>
      <c r="AO126" s="60"/>
      <c r="AP126" s="60"/>
      <c r="AQ126" s="60"/>
    </row>
    <row r="127" ht="14.25" customHeight="1" outlineLevel="1">
      <c r="A127" s="45" t="str">
        <f>CONCATENATE("sacs:",RIGHT(C127,LEN(C127)-SEARCH(":",C127)),"_", RIGHT(B127,LEN(B127)-SEARCH(":", B127)) )</f>
        <v>sacs:Validation_hasActivityType</v>
      </c>
      <c r="B127" s="48" t="s">
        <v>353</v>
      </c>
      <c r="C127" s="45" t="s">
        <v>153</v>
      </c>
      <c r="D127" s="45"/>
      <c r="E127" s="46" t="s">
        <v>354</v>
      </c>
      <c r="F127" s="49" t="s">
        <v>355</v>
      </c>
      <c r="G127" s="45"/>
      <c r="H127" s="46">
        <v>1.0</v>
      </c>
      <c r="I127" s="46">
        <v>1.0</v>
      </c>
      <c r="J127" s="47" t="s">
        <v>78</v>
      </c>
      <c r="K127" s="45"/>
      <c r="L127" s="48" t="s">
        <v>202</v>
      </c>
      <c r="M127" s="45"/>
      <c r="N127" s="45"/>
      <c r="O127" s="46"/>
      <c r="P127" s="46" t="s">
        <v>511</v>
      </c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89"/>
      <c r="AB127" s="90"/>
      <c r="AC127" s="90"/>
      <c r="AD127" s="90"/>
      <c r="AE127" s="90"/>
      <c r="AF127" s="90"/>
      <c r="AG127" s="90"/>
      <c r="AH127" s="90"/>
      <c r="AI127" s="90"/>
      <c r="AJ127" s="90"/>
      <c r="AK127" s="90"/>
      <c r="AL127" s="90"/>
      <c r="AM127" s="90"/>
      <c r="AN127" s="90"/>
      <c r="AO127" s="90"/>
      <c r="AP127" s="90"/>
      <c r="AQ127" s="90"/>
    </row>
    <row r="128" ht="14.25" customHeight="1" outlineLevel="1">
      <c r="A128" s="45"/>
      <c r="B128" s="45"/>
      <c r="C128" s="45"/>
      <c r="D128" s="45"/>
      <c r="E128" s="45"/>
      <c r="F128" s="54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89"/>
      <c r="AB128" s="90"/>
      <c r="AC128" s="90"/>
      <c r="AD128" s="90"/>
      <c r="AE128" s="90"/>
      <c r="AF128" s="90"/>
      <c r="AG128" s="90"/>
      <c r="AH128" s="90"/>
      <c r="AI128" s="90"/>
      <c r="AJ128" s="90"/>
      <c r="AK128" s="90"/>
      <c r="AL128" s="90"/>
      <c r="AM128" s="90"/>
      <c r="AN128" s="90"/>
      <c r="AO128" s="90"/>
      <c r="AP128" s="90"/>
      <c r="AQ128" s="90"/>
    </row>
    <row r="129" ht="14.25" customHeight="1" outlineLevel="1">
      <c r="A129" s="45"/>
      <c r="B129" s="45"/>
      <c r="C129" s="45"/>
      <c r="D129" s="45"/>
      <c r="E129" s="45"/>
      <c r="F129" s="54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89"/>
      <c r="AB129" s="90"/>
      <c r="AC129" s="90"/>
      <c r="AD129" s="90"/>
      <c r="AE129" s="90"/>
      <c r="AF129" s="90"/>
      <c r="AG129" s="90"/>
      <c r="AH129" s="90"/>
      <c r="AI129" s="90"/>
      <c r="AJ129" s="90"/>
      <c r="AK129" s="90"/>
      <c r="AL129" s="90"/>
      <c r="AM129" s="90"/>
      <c r="AN129" s="90"/>
      <c r="AO129" s="90"/>
      <c r="AP129" s="90"/>
      <c r="AQ129" s="90"/>
    </row>
    <row r="130" ht="14.25" customHeight="1" outlineLevel="1">
      <c r="A130" s="123"/>
      <c r="B130" s="123"/>
      <c r="C130" s="123"/>
      <c r="D130" s="123"/>
      <c r="E130" s="123"/>
      <c r="F130" s="124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5"/>
      <c r="AB130" s="126"/>
      <c r="AC130" s="126"/>
      <c r="AD130" s="126"/>
      <c r="AE130" s="126"/>
      <c r="AF130" s="126"/>
      <c r="AG130" s="126"/>
      <c r="AH130" s="126"/>
      <c r="AI130" s="126"/>
      <c r="AJ130" s="126"/>
      <c r="AK130" s="126"/>
      <c r="AL130" s="126"/>
      <c r="AM130" s="126"/>
      <c r="AN130" s="126"/>
      <c r="AO130" s="126"/>
      <c r="AP130" s="126"/>
      <c r="AQ130" s="126"/>
    </row>
    <row r="131" ht="14.25" customHeight="1" outlineLevel="1">
      <c r="A131" s="45"/>
      <c r="B131" s="45"/>
      <c r="C131" s="45"/>
      <c r="D131" s="45"/>
      <c r="E131" s="45"/>
      <c r="F131" s="54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89"/>
      <c r="AB131" s="90"/>
      <c r="AC131" s="90"/>
      <c r="AD131" s="90"/>
      <c r="AE131" s="90"/>
      <c r="AF131" s="90"/>
      <c r="AG131" s="90"/>
      <c r="AH131" s="90"/>
      <c r="AI131" s="90"/>
      <c r="AJ131" s="90"/>
      <c r="AK131" s="90"/>
      <c r="AL131" s="90"/>
      <c r="AM131" s="90"/>
      <c r="AN131" s="90"/>
      <c r="AO131" s="90"/>
      <c r="AP131" s="90"/>
      <c r="AQ131" s="90"/>
    </row>
    <row r="132" ht="14.25" customHeight="1" collapsed="1">
      <c r="A132" s="85" t="s">
        <v>512</v>
      </c>
      <c r="B132" s="55"/>
      <c r="C132" s="55"/>
      <c r="D132" s="55"/>
      <c r="E132" s="55"/>
      <c r="F132" s="56"/>
      <c r="G132" s="55"/>
      <c r="H132" s="56"/>
      <c r="I132" s="56"/>
      <c r="J132" s="55"/>
      <c r="K132" s="55"/>
      <c r="L132" s="55"/>
      <c r="M132" s="56"/>
      <c r="N132" s="56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86"/>
      <c r="AB132" s="87"/>
      <c r="AC132" s="87"/>
      <c r="AD132" s="87"/>
      <c r="AE132" s="87"/>
      <c r="AF132" s="87"/>
      <c r="AG132" s="87"/>
      <c r="AH132" s="87"/>
      <c r="AI132" s="87"/>
      <c r="AJ132" s="87"/>
      <c r="AK132" s="87"/>
      <c r="AL132" s="87"/>
      <c r="AM132" s="87"/>
      <c r="AN132" s="87"/>
      <c r="AO132" s="87"/>
      <c r="AP132" s="87"/>
      <c r="AQ132" s="87"/>
    </row>
    <row r="133" ht="14.25" customHeight="1">
      <c r="A133" s="45" t="str">
        <f t="shared" ref="A133:A144" si="17">CONCATENATE("sacs:",RIGHT(C133,LEN(C133)-SEARCH(":",C133)),"_", RIGHT(B133,LEN(B133)-SEARCH(":", B133)) )</f>
        <v>sacs:LegalStatus_inScheme</v>
      </c>
      <c r="B133" s="53" t="s">
        <v>513</v>
      </c>
      <c r="C133" s="66" t="s">
        <v>175</v>
      </c>
      <c r="D133" s="45"/>
      <c r="E133" s="127" t="s">
        <v>514</v>
      </c>
      <c r="F133" s="54"/>
      <c r="G133" s="45"/>
      <c r="H133" s="45"/>
      <c r="I133" s="45"/>
      <c r="J133" s="45"/>
      <c r="K133" s="45"/>
      <c r="L133" s="45"/>
      <c r="M133" s="45"/>
      <c r="O133" s="128" t="s">
        <v>515</v>
      </c>
      <c r="Q133" s="59"/>
      <c r="S133" s="45"/>
      <c r="T133" s="45"/>
      <c r="U133" s="45"/>
      <c r="V133" s="45"/>
      <c r="W133" s="45"/>
      <c r="X133" s="45"/>
      <c r="Y133" s="45"/>
      <c r="Z133" s="45"/>
      <c r="AA133" s="129"/>
      <c r="AB133" s="45"/>
      <c r="AC133" s="45"/>
      <c r="AD133" s="45"/>
      <c r="AE133" s="45"/>
      <c r="AF133" s="45"/>
      <c r="AG133" s="45"/>
      <c r="AH133" s="45"/>
      <c r="AI133" s="45"/>
      <c r="AJ133" s="45"/>
      <c r="AK133" s="45"/>
      <c r="AL133" s="45"/>
      <c r="AM133" s="45"/>
      <c r="AN133" s="45"/>
      <c r="AO133" s="45"/>
      <c r="AP133" s="45"/>
      <c r="AQ133" s="45"/>
    </row>
    <row r="134" ht="14.25" customHeight="1">
      <c r="A134" s="45" t="str">
        <f t="shared" si="17"/>
        <v>sacs:IdentifierType_inScheme</v>
      </c>
      <c r="B134" s="53" t="s">
        <v>513</v>
      </c>
      <c r="C134" s="66" t="s">
        <v>181</v>
      </c>
      <c r="D134" s="45"/>
      <c r="E134" s="127" t="s">
        <v>514</v>
      </c>
      <c r="F134" s="54"/>
      <c r="G134" s="45"/>
      <c r="H134" s="45"/>
      <c r="I134" s="45"/>
      <c r="J134" s="45"/>
      <c r="K134" s="45"/>
      <c r="L134" s="45"/>
      <c r="M134" s="45"/>
      <c r="O134" s="128" t="s">
        <v>516</v>
      </c>
      <c r="Q134" s="59"/>
      <c r="S134" s="45"/>
      <c r="T134" s="45"/>
      <c r="U134" s="45"/>
      <c r="V134" s="45"/>
      <c r="W134" s="45"/>
      <c r="X134" s="45"/>
      <c r="Y134" s="45"/>
      <c r="Z134" s="45"/>
      <c r="AA134" s="129"/>
      <c r="AB134" s="45"/>
      <c r="AC134" s="45"/>
      <c r="AD134" s="45"/>
      <c r="AE134" s="45"/>
      <c r="AF134" s="45"/>
      <c r="AG134" s="45"/>
      <c r="AH134" s="45"/>
      <c r="AI134" s="45"/>
      <c r="AJ134" s="45"/>
      <c r="AK134" s="45"/>
      <c r="AL134" s="45"/>
      <c r="AM134" s="45"/>
      <c r="AN134" s="45"/>
      <c r="AO134" s="45"/>
      <c r="AP134" s="45"/>
      <c r="AQ134" s="45"/>
    </row>
    <row r="135" ht="14.25" customHeight="1">
      <c r="A135" s="45" t="str">
        <f t="shared" si="17"/>
        <v>sacs:PlaceType_inScheme</v>
      </c>
      <c r="B135" s="53" t="s">
        <v>513</v>
      </c>
      <c r="C135" s="66" t="s">
        <v>186</v>
      </c>
      <c r="D135" s="45"/>
      <c r="E135" s="127" t="s">
        <v>514</v>
      </c>
      <c r="F135" s="54"/>
      <c r="G135" s="45"/>
      <c r="H135" s="45"/>
      <c r="I135" s="45"/>
      <c r="J135" s="45"/>
      <c r="K135" s="45"/>
      <c r="L135" s="45"/>
      <c r="M135" s="45"/>
      <c r="O135" s="128" t="s">
        <v>517</v>
      </c>
      <c r="Q135" s="59"/>
      <c r="S135" s="45"/>
      <c r="T135" s="45"/>
      <c r="U135" s="45"/>
      <c r="V135" s="45"/>
      <c r="W135" s="45"/>
      <c r="X135" s="45"/>
      <c r="Y135" s="45"/>
      <c r="Z135" s="45"/>
      <c r="AA135" s="129"/>
      <c r="AB135" s="45"/>
      <c r="AC135" s="45"/>
      <c r="AD135" s="45"/>
      <c r="AE135" s="45"/>
      <c r="AF135" s="45"/>
      <c r="AG135" s="45"/>
      <c r="AH135" s="45"/>
      <c r="AI135" s="45"/>
      <c r="AJ135" s="45"/>
      <c r="AK135" s="45"/>
      <c r="AL135" s="45"/>
      <c r="AM135" s="45"/>
      <c r="AN135" s="45"/>
      <c r="AO135" s="45"/>
      <c r="AP135" s="45"/>
      <c r="AQ135" s="45"/>
    </row>
    <row r="136" ht="14.25" customHeight="1">
      <c r="A136" s="45" t="str">
        <f t="shared" si="17"/>
        <v>sacs:EventType_inScheme</v>
      </c>
      <c r="B136" s="53" t="s">
        <v>513</v>
      </c>
      <c r="C136" s="66" t="s">
        <v>191</v>
      </c>
      <c r="E136" s="127" t="s">
        <v>514</v>
      </c>
      <c r="F136" s="130"/>
      <c r="O136" s="128" t="s">
        <v>518</v>
      </c>
      <c r="Q136" s="59"/>
      <c r="AA136" s="131"/>
    </row>
    <row r="137" ht="14.25" customHeight="1">
      <c r="A137" s="45" t="str">
        <f t="shared" si="17"/>
        <v>sacs:OccupationType_inScheme</v>
      </c>
      <c r="B137" s="53" t="s">
        <v>513</v>
      </c>
      <c r="C137" s="66" t="s">
        <v>196</v>
      </c>
      <c r="E137" s="127" t="s">
        <v>514</v>
      </c>
      <c r="F137" s="130"/>
      <c r="O137" s="128" t="s">
        <v>519</v>
      </c>
      <c r="Q137" s="59"/>
      <c r="AA137" s="131"/>
    </row>
    <row r="138" ht="14.25" customHeight="1">
      <c r="A138" s="45" t="str">
        <f t="shared" si="17"/>
        <v>sacs:ActivityType_inScheme</v>
      </c>
      <c r="B138" s="53" t="s">
        <v>513</v>
      </c>
      <c r="C138" s="66" t="s">
        <v>201</v>
      </c>
      <c r="E138" s="127" t="s">
        <v>514</v>
      </c>
      <c r="F138" s="130"/>
      <c r="O138" s="128" t="s">
        <v>520</v>
      </c>
      <c r="Q138" s="59"/>
      <c r="AA138" s="131"/>
    </row>
    <row r="139" ht="14.25" customHeight="1">
      <c r="A139" s="45" t="str">
        <f t="shared" si="17"/>
        <v>sacs:CarrierType_inScheme</v>
      </c>
      <c r="B139" s="53" t="s">
        <v>513</v>
      </c>
      <c r="C139" s="66" t="s">
        <v>206</v>
      </c>
      <c r="E139" s="127" t="s">
        <v>514</v>
      </c>
      <c r="F139" s="130"/>
      <c r="O139" s="128" t="s">
        <v>521</v>
      </c>
      <c r="Q139" s="59"/>
      <c r="AA139" s="131"/>
    </row>
    <row r="140" ht="14.25" customHeight="1">
      <c r="A140" s="45" t="str">
        <f t="shared" si="17"/>
        <v>sacs:DemographicGroup_inScheme</v>
      </c>
      <c r="B140" s="53" t="s">
        <v>513</v>
      </c>
      <c r="C140" s="66" t="s">
        <v>211</v>
      </c>
      <c r="E140" s="127" t="s">
        <v>514</v>
      </c>
      <c r="F140" s="130"/>
      <c r="O140" s="128" t="s">
        <v>522</v>
      </c>
      <c r="Q140" s="59"/>
      <c r="AA140" s="131"/>
    </row>
    <row r="141" ht="14.25" customHeight="1">
      <c r="A141" s="45" t="str">
        <f t="shared" si="17"/>
        <v>sacs:CorporateBodyType_inScheme</v>
      </c>
      <c r="B141" s="53" t="s">
        <v>513</v>
      </c>
      <c r="C141" s="66" t="s">
        <v>216</v>
      </c>
      <c r="E141" s="127" t="s">
        <v>514</v>
      </c>
      <c r="F141" s="130"/>
      <c r="O141" s="128" t="s">
        <v>523</v>
      </c>
      <c r="Q141" s="59"/>
      <c r="AA141" s="131"/>
    </row>
    <row r="142" ht="14.25" customHeight="1">
      <c r="A142" s="45" t="str">
        <f t="shared" si="17"/>
        <v>sacs:TypeProcedure_inScheme</v>
      </c>
      <c r="B142" s="53" t="s">
        <v>513</v>
      </c>
      <c r="C142" s="66" t="s">
        <v>221</v>
      </c>
      <c r="E142" s="127" t="s">
        <v>514</v>
      </c>
      <c r="F142" s="130"/>
      <c r="O142" s="128" t="s">
        <v>524</v>
      </c>
      <c r="Q142" s="59"/>
      <c r="AA142" s="131"/>
    </row>
    <row r="143" ht="14.25" customHeight="1">
      <c r="A143" s="45" t="str">
        <f t="shared" si="17"/>
        <v>sacs:OrdreInstruction_inScheme</v>
      </c>
      <c r="B143" s="53" t="s">
        <v>513</v>
      </c>
      <c r="C143" s="66" t="s">
        <v>226</v>
      </c>
      <c r="E143" s="127" t="s">
        <v>514</v>
      </c>
      <c r="F143" s="130"/>
      <c r="O143" s="128" t="s">
        <v>525</v>
      </c>
      <c r="Q143" s="59"/>
      <c r="AA143" s="131"/>
    </row>
    <row r="144" ht="14.25" customHeight="1">
      <c r="A144" s="45" t="str">
        <f t="shared" si="17"/>
        <v>sacs:TypeRole_inScheme</v>
      </c>
      <c r="B144" s="53" t="s">
        <v>513</v>
      </c>
      <c r="C144" s="53" t="s">
        <v>231</v>
      </c>
      <c r="E144" s="127" t="s">
        <v>514</v>
      </c>
      <c r="F144" s="130"/>
      <c r="O144" s="128" t="s">
        <v>525</v>
      </c>
      <c r="Q144" s="59"/>
      <c r="AA144" s="131"/>
    </row>
    <row r="145" ht="14.25" customHeight="1">
      <c r="E145" s="1"/>
      <c r="F145" s="130"/>
      <c r="AA145" s="131"/>
    </row>
    <row r="146" ht="14.25" customHeight="1">
      <c r="A146" s="85" t="s">
        <v>526</v>
      </c>
      <c r="B146" s="55"/>
      <c r="C146" s="55"/>
      <c r="D146" s="55"/>
      <c r="E146" s="55"/>
      <c r="F146" s="56"/>
      <c r="G146" s="55"/>
      <c r="H146" s="56"/>
      <c r="I146" s="56"/>
      <c r="J146" s="55"/>
      <c r="K146" s="55"/>
      <c r="L146" s="55"/>
      <c r="M146" s="56"/>
      <c r="N146" s="56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86"/>
      <c r="AB146" s="87"/>
      <c r="AC146" s="87"/>
      <c r="AD146" s="87"/>
      <c r="AE146" s="87"/>
      <c r="AF146" s="87"/>
      <c r="AG146" s="87"/>
      <c r="AH146" s="87"/>
      <c r="AI146" s="87"/>
      <c r="AJ146" s="87"/>
      <c r="AK146" s="87"/>
      <c r="AL146" s="87"/>
      <c r="AM146" s="87"/>
      <c r="AN146" s="87"/>
      <c r="AO146" s="87"/>
      <c r="AP146" s="87"/>
      <c r="AQ146" s="87"/>
    </row>
    <row r="147" ht="14.25" customHeight="1">
      <c r="A147" s="45" t="str">
        <f t="shared" ref="A147:A158" si="18">CONCATENATE("sacs:",RIGHT(C147,LEN(C147)-SEARCH(":",C147)),"_", RIGHT(B147,LEN(B147)-SEARCH(":", B147)) )</f>
        <v>sacs:LegalStatus_prefLabel</v>
      </c>
      <c r="B147" s="53" t="s">
        <v>527</v>
      </c>
      <c r="C147" s="66" t="s">
        <v>175</v>
      </c>
      <c r="D147" s="45"/>
      <c r="E147" s="71" t="s">
        <v>528</v>
      </c>
      <c r="F147" s="54"/>
      <c r="G147" s="45"/>
      <c r="H147" s="45"/>
      <c r="I147" s="45"/>
      <c r="J147" s="45"/>
      <c r="K147" s="45"/>
      <c r="L147" s="45"/>
      <c r="M147" s="46" t="s">
        <v>237</v>
      </c>
      <c r="O147" s="128"/>
      <c r="Q147" s="88" t="s">
        <v>300</v>
      </c>
      <c r="S147" s="45"/>
      <c r="T147" s="45"/>
      <c r="U147" s="45"/>
      <c r="V147" s="45"/>
      <c r="W147" s="45"/>
      <c r="X147" s="45"/>
      <c r="Y147" s="45"/>
      <c r="Z147" s="45"/>
      <c r="AA147" s="129"/>
      <c r="AB147" s="45"/>
      <c r="AC147" s="45"/>
      <c r="AD147" s="45"/>
      <c r="AE147" s="45"/>
      <c r="AF147" s="45"/>
      <c r="AG147" s="45"/>
      <c r="AH147" s="45"/>
      <c r="AI147" s="45"/>
      <c r="AJ147" s="45"/>
      <c r="AK147" s="45"/>
      <c r="AL147" s="45"/>
      <c r="AM147" s="45"/>
      <c r="AN147" s="45"/>
      <c r="AO147" s="45"/>
      <c r="AP147" s="45"/>
      <c r="AQ147" s="45"/>
    </row>
    <row r="148" ht="14.25" customHeight="1">
      <c r="A148" s="45" t="str">
        <f t="shared" si="18"/>
        <v>sacs:IdentifierType_prefLabel</v>
      </c>
      <c r="B148" s="53" t="s">
        <v>527</v>
      </c>
      <c r="C148" s="66" t="s">
        <v>181</v>
      </c>
      <c r="D148" s="45"/>
      <c r="E148" s="71" t="s">
        <v>528</v>
      </c>
      <c r="F148" s="54"/>
      <c r="G148" s="45"/>
      <c r="H148" s="45"/>
      <c r="I148" s="45"/>
      <c r="J148" s="45"/>
      <c r="K148" s="45"/>
      <c r="L148" s="45"/>
      <c r="M148" s="46" t="s">
        <v>237</v>
      </c>
      <c r="O148" s="128"/>
      <c r="Q148" s="88" t="s">
        <v>300</v>
      </c>
      <c r="S148" s="45"/>
      <c r="T148" s="45"/>
      <c r="U148" s="45"/>
      <c r="V148" s="45"/>
      <c r="W148" s="45"/>
      <c r="X148" s="45"/>
      <c r="Y148" s="45"/>
      <c r="Z148" s="45"/>
      <c r="AA148" s="129"/>
      <c r="AB148" s="45"/>
      <c r="AC148" s="45"/>
      <c r="AD148" s="45"/>
      <c r="AE148" s="45"/>
      <c r="AF148" s="45"/>
      <c r="AG148" s="45"/>
      <c r="AH148" s="45"/>
      <c r="AI148" s="45"/>
      <c r="AJ148" s="45"/>
      <c r="AK148" s="45"/>
      <c r="AL148" s="45"/>
      <c r="AM148" s="45"/>
      <c r="AN148" s="45"/>
      <c r="AO148" s="45"/>
      <c r="AP148" s="45"/>
      <c r="AQ148" s="45"/>
    </row>
    <row r="149" ht="14.25" customHeight="1">
      <c r="A149" s="45" t="str">
        <f t="shared" si="18"/>
        <v>sacs:PlaceType_prefLabel</v>
      </c>
      <c r="B149" s="53" t="s">
        <v>527</v>
      </c>
      <c r="C149" s="66" t="s">
        <v>186</v>
      </c>
      <c r="D149" s="45"/>
      <c r="E149" s="71" t="s">
        <v>528</v>
      </c>
      <c r="F149" s="54"/>
      <c r="G149" s="45"/>
      <c r="H149" s="45"/>
      <c r="I149" s="45"/>
      <c r="J149" s="45"/>
      <c r="K149" s="45"/>
      <c r="L149" s="45"/>
      <c r="M149" s="46" t="s">
        <v>237</v>
      </c>
      <c r="O149" s="128"/>
      <c r="Q149" s="88" t="s">
        <v>300</v>
      </c>
      <c r="S149" s="45"/>
      <c r="T149" s="45"/>
      <c r="U149" s="45"/>
      <c r="V149" s="45"/>
      <c r="W149" s="45"/>
      <c r="X149" s="45"/>
      <c r="Y149" s="45"/>
      <c r="Z149" s="45"/>
      <c r="AA149" s="129"/>
      <c r="AB149" s="45"/>
      <c r="AC149" s="45"/>
      <c r="AD149" s="45"/>
      <c r="AE149" s="45"/>
      <c r="AF149" s="45"/>
      <c r="AG149" s="45"/>
      <c r="AH149" s="45"/>
      <c r="AI149" s="45"/>
      <c r="AJ149" s="45"/>
      <c r="AK149" s="45"/>
      <c r="AL149" s="45"/>
      <c r="AM149" s="45"/>
      <c r="AN149" s="45"/>
      <c r="AO149" s="45"/>
      <c r="AP149" s="45"/>
      <c r="AQ149" s="45"/>
    </row>
    <row r="150" ht="14.25" customHeight="1">
      <c r="A150" s="45" t="str">
        <f t="shared" si="18"/>
        <v>sacs:EventType_prefLabel</v>
      </c>
      <c r="B150" s="53" t="s">
        <v>527</v>
      </c>
      <c r="C150" s="66" t="s">
        <v>191</v>
      </c>
      <c r="E150" s="71" t="s">
        <v>528</v>
      </c>
      <c r="F150" s="130"/>
      <c r="M150" s="46" t="s">
        <v>237</v>
      </c>
      <c r="O150" s="128"/>
      <c r="Q150" s="88" t="s">
        <v>300</v>
      </c>
      <c r="AA150" s="131"/>
    </row>
    <row r="151" ht="14.25" customHeight="1">
      <c r="A151" s="45" t="str">
        <f t="shared" si="18"/>
        <v>sacs:OccupationType_prefLabel</v>
      </c>
      <c r="B151" s="53" t="s">
        <v>527</v>
      </c>
      <c r="C151" s="66" t="s">
        <v>196</v>
      </c>
      <c r="E151" s="71" t="s">
        <v>528</v>
      </c>
      <c r="F151" s="130"/>
      <c r="M151" s="46" t="s">
        <v>237</v>
      </c>
      <c r="O151" s="128"/>
      <c r="Q151" s="88" t="s">
        <v>300</v>
      </c>
      <c r="AA151" s="131"/>
    </row>
    <row r="152" ht="14.25" customHeight="1">
      <c r="A152" s="45" t="str">
        <f t="shared" si="18"/>
        <v>sacs:ActivityType_prefLabel</v>
      </c>
      <c r="B152" s="53" t="s">
        <v>527</v>
      </c>
      <c r="C152" s="66" t="s">
        <v>201</v>
      </c>
      <c r="E152" s="71" t="s">
        <v>528</v>
      </c>
      <c r="F152" s="130"/>
      <c r="M152" s="46" t="s">
        <v>237</v>
      </c>
      <c r="O152" s="128"/>
      <c r="Q152" s="88" t="s">
        <v>300</v>
      </c>
      <c r="AA152" s="131"/>
    </row>
    <row r="153" ht="14.25" customHeight="1">
      <c r="A153" s="45" t="str">
        <f t="shared" si="18"/>
        <v>sacs:CarrierType_prefLabel</v>
      </c>
      <c r="B153" s="53" t="s">
        <v>527</v>
      </c>
      <c r="C153" s="66" t="s">
        <v>206</v>
      </c>
      <c r="E153" s="71" t="s">
        <v>528</v>
      </c>
      <c r="F153" s="130"/>
      <c r="M153" s="46" t="s">
        <v>237</v>
      </c>
      <c r="O153" s="128"/>
      <c r="Q153" s="88" t="s">
        <v>300</v>
      </c>
      <c r="AA153" s="131"/>
    </row>
    <row r="154" ht="14.25" customHeight="1">
      <c r="A154" s="45" t="str">
        <f t="shared" si="18"/>
        <v>sacs:DemographicGroup_prefLabel</v>
      </c>
      <c r="B154" s="53" t="s">
        <v>527</v>
      </c>
      <c r="C154" s="66" t="s">
        <v>211</v>
      </c>
      <c r="E154" s="71" t="s">
        <v>528</v>
      </c>
      <c r="F154" s="130"/>
      <c r="M154" s="46" t="s">
        <v>237</v>
      </c>
      <c r="O154" s="128"/>
      <c r="Q154" s="88" t="s">
        <v>300</v>
      </c>
      <c r="AA154" s="131"/>
    </row>
    <row r="155" ht="14.25" customHeight="1">
      <c r="A155" s="45" t="str">
        <f t="shared" si="18"/>
        <v>sacs:CorporateBodyType_prefLabel</v>
      </c>
      <c r="B155" s="53" t="s">
        <v>527</v>
      </c>
      <c r="C155" s="66" t="s">
        <v>216</v>
      </c>
      <c r="E155" s="71" t="s">
        <v>528</v>
      </c>
      <c r="F155" s="130"/>
      <c r="M155" s="46" t="s">
        <v>237</v>
      </c>
      <c r="O155" s="128"/>
      <c r="Q155" s="88" t="s">
        <v>300</v>
      </c>
      <c r="AA155" s="131"/>
    </row>
    <row r="156" ht="14.25" customHeight="1">
      <c r="A156" s="45" t="str">
        <f t="shared" si="18"/>
        <v>sacs:TypeProcedure_prefLabel</v>
      </c>
      <c r="B156" s="53" t="s">
        <v>527</v>
      </c>
      <c r="C156" s="66" t="s">
        <v>221</v>
      </c>
      <c r="E156" s="71" t="s">
        <v>528</v>
      </c>
      <c r="F156" s="130"/>
      <c r="M156" s="46" t="s">
        <v>237</v>
      </c>
      <c r="O156" s="128"/>
      <c r="Q156" s="88" t="s">
        <v>300</v>
      </c>
      <c r="AA156" s="131"/>
    </row>
    <row r="157" ht="14.25" customHeight="1">
      <c r="A157" s="45" t="str">
        <f t="shared" si="18"/>
        <v>sacs:OrdreInstruction_prefLabel</v>
      </c>
      <c r="B157" s="53" t="s">
        <v>527</v>
      </c>
      <c r="C157" s="66" t="s">
        <v>226</v>
      </c>
      <c r="E157" s="71" t="s">
        <v>528</v>
      </c>
      <c r="F157" s="130"/>
      <c r="M157" s="46" t="s">
        <v>237</v>
      </c>
      <c r="O157" s="128"/>
      <c r="Q157" s="88" t="s">
        <v>300</v>
      </c>
      <c r="AA157" s="131"/>
    </row>
    <row r="158" ht="14.25" customHeight="1">
      <c r="A158" s="45" t="str">
        <f t="shared" si="18"/>
        <v>sacs:TypeRole_prefLabel</v>
      </c>
      <c r="B158" s="53" t="s">
        <v>527</v>
      </c>
      <c r="C158" s="53" t="s">
        <v>231</v>
      </c>
      <c r="E158" s="71" t="s">
        <v>528</v>
      </c>
      <c r="F158" s="130"/>
      <c r="M158" s="46" t="s">
        <v>237</v>
      </c>
      <c r="O158" s="128"/>
      <c r="Q158" s="88" t="s">
        <v>300</v>
      </c>
      <c r="AA158" s="131"/>
    </row>
    <row r="159" ht="14.25" customHeight="1">
      <c r="E159" s="1"/>
      <c r="F159" s="130"/>
      <c r="AA159" s="131"/>
    </row>
    <row r="160" ht="14.25" customHeight="1">
      <c r="E160" s="1"/>
      <c r="F160" s="130"/>
      <c r="AA160" s="131"/>
    </row>
    <row r="161" ht="14.25" customHeight="1">
      <c r="E161" s="1"/>
      <c r="F161" s="130"/>
      <c r="AA161" s="131"/>
    </row>
    <row r="162" ht="14.25" customHeight="1">
      <c r="E162" s="1"/>
      <c r="F162" s="130"/>
      <c r="AA162" s="131"/>
    </row>
    <row r="163" ht="14.25" customHeight="1">
      <c r="E163" s="1"/>
      <c r="F163" s="130"/>
      <c r="AA163" s="131"/>
    </row>
    <row r="164" ht="14.25" customHeight="1">
      <c r="E164" s="1"/>
      <c r="F164" s="130"/>
      <c r="AA164" s="131"/>
    </row>
    <row r="165" ht="14.25" customHeight="1">
      <c r="E165" s="1"/>
      <c r="F165" s="130"/>
      <c r="AA165" s="131"/>
    </row>
    <row r="166" ht="14.25" customHeight="1">
      <c r="E166" s="1"/>
      <c r="F166" s="130"/>
      <c r="AA166" s="131"/>
    </row>
    <row r="167" ht="14.25" customHeight="1">
      <c r="E167" s="1"/>
      <c r="F167" s="130"/>
      <c r="AA167" s="131"/>
    </row>
    <row r="168" ht="14.25" customHeight="1">
      <c r="E168" s="1"/>
      <c r="F168" s="130"/>
      <c r="AA168" s="131"/>
    </row>
    <row r="169" ht="14.25" customHeight="1">
      <c r="E169" s="1"/>
      <c r="F169" s="130"/>
      <c r="AA169" s="131"/>
    </row>
    <row r="170" ht="14.25" customHeight="1">
      <c r="E170" s="1"/>
      <c r="F170" s="130"/>
      <c r="AA170" s="131"/>
    </row>
    <row r="171" ht="14.25" customHeight="1">
      <c r="E171" s="1"/>
      <c r="F171" s="130"/>
      <c r="AA171" s="131"/>
    </row>
    <row r="172" ht="14.25" customHeight="1">
      <c r="E172" s="1"/>
      <c r="F172" s="130"/>
      <c r="AA172" s="131"/>
    </row>
    <row r="173" ht="14.25" customHeight="1">
      <c r="E173" s="1"/>
      <c r="F173" s="130"/>
      <c r="AA173" s="131"/>
    </row>
    <row r="174" ht="14.25" customHeight="1">
      <c r="E174" s="1"/>
      <c r="F174" s="130"/>
      <c r="AA174" s="131"/>
    </row>
    <row r="175" ht="14.25" customHeight="1">
      <c r="E175" s="1"/>
      <c r="F175" s="130"/>
      <c r="AA175" s="131"/>
    </row>
    <row r="176" ht="14.25" customHeight="1">
      <c r="E176" s="1"/>
      <c r="F176" s="130"/>
      <c r="AA176" s="131"/>
    </row>
    <row r="177" ht="14.25" customHeight="1">
      <c r="E177" s="1"/>
      <c r="F177" s="130"/>
      <c r="AA177" s="131"/>
    </row>
    <row r="178" ht="14.25" customHeight="1">
      <c r="E178" s="1"/>
      <c r="F178" s="130"/>
      <c r="AA178" s="131"/>
    </row>
    <row r="179" ht="14.25" customHeight="1">
      <c r="E179" s="1"/>
      <c r="F179" s="130"/>
      <c r="AA179" s="131"/>
    </row>
    <row r="180" ht="14.25" customHeight="1">
      <c r="E180" s="1"/>
      <c r="F180" s="130"/>
      <c r="AA180" s="131"/>
    </row>
    <row r="181" ht="14.25" customHeight="1">
      <c r="E181" s="1"/>
      <c r="F181" s="130"/>
      <c r="AA181" s="131"/>
    </row>
    <row r="182" ht="14.25" customHeight="1">
      <c r="E182" s="1"/>
      <c r="F182" s="130"/>
      <c r="AA182" s="131"/>
    </row>
    <row r="183" ht="14.25" customHeight="1">
      <c r="E183" s="1"/>
      <c r="F183" s="130"/>
      <c r="AA183" s="131"/>
    </row>
    <row r="184" ht="14.25" customHeight="1">
      <c r="E184" s="1"/>
      <c r="F184" s="130"/>
      <c r="AA184" s="131"/>
    </row>
    <row r="185" ht="14.25" customHeight="1">
      <c r="E185" s="1"/>
      <c r="F185" s="130"/>
      <c r="AA185" s="131"/>
    </row>
    <row r="186" ht="14.25" customHeight="1">
      <c r="E186" s="1"/>
      <c r="F186" s="130"/>
      <c r="AA186" s="131"/>
    </row>
    <row r="187" ht="14.25" customHeight="1">
      <c r="E187" s="1"/>
      <c r="F187" s="130"/>
      <c r="AA187" s="131"/>
    </row>
    <row r="188" ht="14.25" customHeight="1">
      <c r="E188" s="1"/>
      <c r="F188" s="130"/>
      <c r="AA188" s="131"/>
    </row>
    <row r="189" ht="14.25" customHeight="1">
      <c r="E189" s="1"/>
      <c r="F189" s="130"/>
      <c r="AA189" s="131"/>
    </row>
    <row r="190" ht="14.25" customHeight="1">
      <c r="E190" s="1"/>
      <c r="F190" s="130"/>
      <c r="AA190" s="131"/>
    </row>
    <row r="191" ht="14.25" customHeight="1">
      <c r="E191" s="1"/>
      <c r="F191" s="130"/>
      <c r="AA191" s="131"/>
    </row>
    <row r="192" ht="14.25" customHeight="1">
      <c r="E192" s="1"/>
      <c r="F192" s="130"/>
      <c r="AA192" s="131"/>
    </row>
    <row r="193" ht="14.25" customHeight="1">
      <c r="E193" s="1"/>
      <c r="F193" s="130"/>
      <c r="AA193" s="131"/>
    </row>
    <row r="194" ht="14.25" customHeight="1">
      <c r="E194" s="1"/>
      <c r="F194" s="130"/>
      <c r="AA194" s="131"/>
    </row>
    <row r="195" ht="14.25" customHeight="1">
      <c r="E195" s="1"/>
      <c r="F195" s="130"/>
      <c r="AA195" s="131"/>
    </row>
    <row r="196" ht="14.25" customHeight="1">
      <c r="E196" s="1"/>
      <c r="F196" s="130"/>
      <c r="AA196" s="131"/>
    </row>
    <row r="197" ht="14.25" customHeight="1">
      <c r="E197" s="1"/>
      <c r="F197" s="130"/>
      <c r="AA197" s="131"/>
    </row>
    <row r="198" ht="14.25" customHeight="1">
      <c r="E198" s="1"/>
      <c r="F198" s="130"/>
      <c r="AA198" s="131"/>
    </row>
    <row r="199" ht="14.25" customHeight="1">
      <c r="E199" s="1"/>
      <c r="F199" s="130"/>
      <c r="AA199" s="131"/>
    </row>
    <row r="200" ht="14.25" customHeight="1">
      <c r="E200" s="1"/>
      <c r="F200" s="130"/>
      <c r="AA200" s="131"/>
    </row>
    <row r="201" ht="14.25" customHeight="1">
      <c r="E201" s="1"/>
      <c r="F201" s="130"/>
      <c r="AA201" s="131"/>
    </row>
    <row r="202" ht="14.25" customHeight="1">
      <c r="E202" s="1"/>
      <c r="F202" s="130"/>
      <c r="AA202" s="131"/>
    </row>
    <row r="203" ht="14.25" customHeight="1">
      <c r="E203" s="1"/>
      <c r="F203" s="130"/>
      <c r="AA203" s="131"/>
    </row>
    <row r="204" ht="14.25" customHeight="1">
      <c r="E204" s="1"/>
      <c r="F204" s="130"/>
      <c r="AA204" s="131"/>
    </row>
    <row r="205" ht="14.25" customHeight="1">
      <c r="E205" s="1"/>
      <c r="F205" s="130"/>
      <c r="AA205" s="131"/>
    </row>
    <row r="206" ht="14.25" customHeight="1">
      <c r="E206" s="1"/>
      <c r="F206" s="130"/>
      <c r="AA206" s="131"/>
    </row>
    <row r="207" ht="14.25" customHeight="1">
      <c r="E207" s="1"/>
      <c r="F207" s="130"/>
      <c r="AA207" s="131"/>
    </row>
    <row r="208" ht="14.25" customHeight="1">
      <c r="E208" s="1"/>
      <c r="F208" s="130"/>
      <c r="AA208" s="131"/>
    </row>
    <row r="209" ht="14.25" customHeight="1">
      <c r="E209" s="1"/>
      <c r="F209" s="130"/>
      <c r="AA209" s="131"/>
    </row>
    <row r="210" ht="14.25" customHeight="1">
      <c r="E210" s="1"/>
      <c r="F210" s="130"/>
      <c r="AA210" s="131"/>
    </row>
    <row r="211" ht="14.25" customHeight="1">
      <c r="E211" s="1"/>
      <c r="F211" s="130"/>
      <c r="AA211" s="131"/>
    </row>
    <row r="212" ht="14.25" customHeight="1">
      <c r="E212" s="1"/>
      <c r="F212" s="130"/>
      <c r="AA212" s="131"/>
    </row>
    <row r="213" ht="14.25" customHeight="1">
      <c r="E213" s="1"/>
      <c r="F213" s="130"/>
      <c r="AA213" s="131"/>
    </row>
    <row r="214" ht="14.25" customHeight="1">
      <c r="E214" s="1"/>
      <c r="F214" s="130"/>
      <c r="AA214" s="131"/>
    </row>
    <row r="215" ht="14.25" customHeight="1">
      <c r="E215" s="1"/>
      <c r="F215" s="130"/>
      <c r="AA215" s="131"/>
    </row>
    <row r="216" ht="14.25" customHeight="1">
      <c r="E216" s="1"/>
      <c r="F216" s="130"/>
      <c r="AA216" s="131"/>
    </row>
    <row r="217" ht="14.25" customHeight="1">
      <c r="E217" s="1"/>
      <c r="F217" s="130"/>
      <c r="AA217" s="131"/>
    </row>
    <row r="218" ht="14.25" customHeight="1">
      <c r="E218" s="1"/>
      <c r="F218" s="130"/>
      <c r="AA218" s="131"/>
    </row>
    <row r="219" ht="14.25" customHeight="1">
      <c r="E219" s="1"/>
      <c r="F219" s="130"/>
      <c r="AA219" s="131"/>
    </row>
    <row r="220" ht="14.25" customHeight="1">
      <c r="E220" s="1"/>
      <c r="F220" s="130"/>
      <c r="AA220" s="131"/>
    </row>
    <row r="221" ht="14.25" customHeight="1">
      <c r="E221" s="1"/>
      <c r="F221" s="130"/>
      <c r="AA221" s="131"/>
    </row>
    <row r="222" ht="14.25" customHeight="1">
      <c r="E222" s="1"/>
      <c r="F222" s="130"/>
      <c r="AA222" s="131"/>
    </row>
    <row r="223" ht="14.25" customHeight="1">
      <c r="E223" s="1"/>
      <c r="F223" s="130"/>
      <c r="AA223" s="131"/>
    </row>
    <row r="224" ht="14.25" customHeight="1">
      <c r="E224" s="1"/>
      <c r="F224" s="130"/>
      <c r="AA224" s="131"/>
    </row>
    <row r="225" ht="14.25" customHeight="1">
      <c r="E225" s="1"/>
      <c r="F225" s="130"/>
      <c r="AA225" s="131"/>
    </row>
    <row r="226" ht="14.25" customHeight="1">
      <c r="E226" s="1"/>
      <c r="F226" s="130"/>
      <c r="AA226" s="131"/>
    </row>
    <row r="227" ht="14.25" customHeight="1">
      <c r="E227" s="1"/>
      <c r="F227" s="130"/>
      <c r="AA227" s="131"/>
    </row>
    <row r="228" ht="14.25" customHeight="1">
      <c r="E228" s="1"/>
      <c r="F228" s="130"/>
      <c r="AA228" s="131"/>
    </row>
    <row r="229" ht="14.25" customHeight="1">
      <c r="E229" s="1"/>
      <c r="F229" s="130"/>
      <c r="AA229" s="131"/>
    </row>
    <row r="230" ht="14.25" customHeight="1">
      <c r="E230" s="1"/>
      <c r="F230" s="130"/>
      <c r="AA230" s="131"/>
    </row>
    <row r="231" ht="14.25" customHeight="1">
      <c r="E231" s="1"/>
      <c r="F231" s="130"/>
      <c r="AA231" s="131"/>
    </row>
    <row r="232" ht="14.25" customHeight="1">
      <c r="E232" s="1"/>
      <c r="F232" s="130"/>
      <c r="AA232" s="131"/>
    </row>
    <row r="233" ht="14.25" customHeight="1">
      <c r="E233" s="1"/>
      <c r="F233" s="130"/>
      <c r="AA233" s="131"/>
    </row>
    <row r="234" ht="14.25" customHeight="1">
      <c r="E234" s="1"/>
      <c r="F234" s="130"/>
      <c r="AA234" s="131"/>
    </row>
    <row r="235" ht="14.25" customHeight="1">
      <c r="E235" s="1"/>
      <c r="F235" s="130"/>
      <c r="AA235" s="131"/>
    </row>
    <row r="236" ht="14.25" customHeight="1">
      <c r="E236" s="1"/>
      <c r="F236" s="130"/>
      <c r="AA236" s="131"/>
    </row>
    <row r="237" ht="14.25" customHeight="1">
      <c r="E237" s="1"/>
      <c r="F237" s="130"/>
      <c r="AA237" s="131"/>
    </row>
    <row r="238" ht="14.25" customHeight="1">
      <c r="E238" s="1"/>
      <c r="F238" s="130"/>
      <c r="AA238" s="131"/>
    </row>
    <row r="239" ht="14.25" customHeight="1">
      <c r="E239" s="1"/>
      <c r="F239" s="130"/>
      <c r="AA239" s="131"/>
    </row>
    <row r="240" ht="14.25" customHeight="1">
      <c r="E240" s="1"/>
      <c r="F240" s="130"/>
      <c r="AA240" s="131"/>
    </row>
    <row r="241" ht="14.25" customHeight="1">
      <c r="E241" s="1"/>
      <c r="F241" s="130"/>
      <c r="AA241" s="131"/>
    </row>
    <row r="242" ht="14.25" customHeight="1">
      <c r="E242" s="1"/>
      <c r="F242" s="130"/>
      <c r="AA242" s="131"/>
    </row>
    <row r="243" ht="14.25" customHeight="1">
      <c r="E243" s="1"/>
      <c r="F243" s="130"/>
      <c r="AA243" s="131"/>
    </row>
    <row r="244" ht="14.25" customHeight="1">
      <c r="E244" s="1"/>
      <c r="F244" s="130"/>
      <c r="AA244" s="131"/>
    </row>
    <row r="245" ht="14.25" customHeight="1">
      <c r="E245" s="1"/>
      <c r="F245" s="130"/>
      <c r="AA245" s="131"/>
    </row>
    <row r="246" ht="14.25" customHeight="1">
      <c r="E246" s="1"/>
      <c r="F246" s="130"/>
      <c r="AA246" s="131"/>
    </row>
    <row r="247" ht="14.25" customHeight="1">
      <c r="E247" s="1"/>
      <c r="F247" s="130"/>
      <c r="AA247" s="131"/>
    </row>
    <row r="248" ht="14.25" customHeight="1">
      <c r="E248" s="1"/>
      <c r="F248" s="130"/>
      <c r="AA248" s="131"/>
    </row>
    <row r="249" ht="14.25" customHeight="1">
      <c r="E249" s="1"/>
      <c r="F249" s="130"/>
      <c r="AA249" s="131"/>
    </row>
    <row r="250" ht="14.25" customHeight="1">
      <c r="E250" s="1"/>
      <c r="F250" s="130"/>
      <c r="AA250" s="131"/>
    </row>
    <row r="251" ht="14.25" customHeight="1">
      <c r="E251" s="1"/>
      <c r="F251" s="130"/>
      <c r="AA251" s="131"/>
    </row>
    <row r="252" ht="14.25" customHeight="1">
      <c r="E252" s="1"/>
      <c r="F252" s="130"/>
      <c r="AA252" s="131"/>
    </row>
    <row r="253" ht="14.25" customHeight="1">
      <c r="E253" s="1"/>
      <c r="F253" s="130"/>
      <c r="AA253" s="131"/>
    </row>
    <row r="254" ht="14.25" customHeight="1">
      <c r="E254" s="1"/>
      <c r="F254" s="130"/>
      <c r="AA254" s="131"/>
    </row>
    <row r="255" ht="14.25" customHeight="1">
      <c r="E255" s="1"/>
      <c r="F255" s="130"/>
      <c r="AA255" s="131"/>
    </row>
    <row r="256" ht="14.25" customHeight="1">
      <c r="E256" s="1"/>
      <c r="F256" s="130"/>
      <c r="AA256" s="131"/>
    </row>
    <row r="257" ht="14.25" customHeight="1">
      <c r="E257" s="1"/>
      <c r="F257" s="130"/>
      <c r="AA257" s="131"/>
    </row>
    <row r="258" ht="14.25" customHeight="1">
      <c r="E258" s="1"/>
      <c r="F258" s="130"/>
      <c r="AA258" s="131"/>
    </row>
    <row r="259" ht="14.25" customHeight="1">
      <c r="E259" s="1"/>
      <c r="F259" s="130"/>
      <c r="AA259" s="131"/>
    </row>
    <row r="260" ht="14.25" customHeight="1">
      <c r="E260" s="1"/>
      <c r="F260" s="130"/>
      <c r="AA260" s="131"/>
    </row>
    <row r="261" ht="14.25" customHeight="1">
      <c r="E261" s="1"/>
      <c r="F261" s="130"/>
      <c r="AA261" s="131"/>
    </row>
    <row r="262" ht="14.25" customHeight="1">
      <c r="E262" s="1"/>
      <c r="F262" s="130"/>
      <c r="AA262" s="131"/>
    </row>
    <row r="263" ht="14.25" customHeight="1">
      <c r="E263" s="1"/>
      <c r="F263" s="130"/>
      <c r="AA263" s="131"/>
    </row>
    <row r="264" ht="14.25" customHeight="1">
      <c r="E264" s="1"/>
      <c r="F264" s="130"/>
      <c r="AA264" s="131"/>
    </row>
    <row r="265" ht="14.25" customHeight="1">
      <c r="E265" s="1"/>
      <c r="F265" s="130"/>
      <c r="AA265" s="131"/>
    </row>
    <row r="266" ht="14.25" customHeight="1">
      <c r="E266" s="1"/>
      <c r="F266" s="130"/>
      <c r="AA266" s="131"/>
    </row>
    <row r="267" ht="14.25" customHeight="1">
      <c r="E267" s="1"/>
      <c r="F267" s="130"/>
      <c r="AA267" s="131"/>
    </row>
    <row r="268" ht="14.25" customHeight="1">
      <c r="E268" s="1"/>
      <c r="F268" s="130"/>
      <c r="AA268" s="131"/>
    </row>
    <row r="269" ht="14.25" customHeight="1">
      <c r="E269" s="1"/>
      <c r="F269" s="130"/>
      <c r="AA269" s="131"/>
    </row>
    <row r="270" ht="14.25" customHeight="1">
      <c r="E270" s="1"/>
      <c r="F270" s="130"/>
      <c r="AA270" s="131"/>
    </row>
    <row r="271" ht="14.25" customHeight="1">
      <c r="E271" s="1"/>
      <c r="F271" s="130"/>
      <c r="AA271" s="131"/>
    </row>
    <row r="272" ht="14.25" customHeight="1">
      <c r="E272" s="1"/>
      <c r="F272" s="130"/>
      <c r="AA272" s="131"/>
    </row>
    <row r="273" ht="14.25" customHeight="1">
      <c r="E273" s="1"/>
      <c r="F273" s="130"/>
      <c r="AA273" s="131"/>
    </row>
    <row r="274" ht="14.25" customHeight="1">
      <c r="E274" s="1"/>
      <c r="F274" s="130"/>
      <c r="AA274" s="131"/>
    </row>
    <row r="275" ht="14.25" customHeight="1">
      <c r="E275" s="1"/>
      <c r="F275" s="130"/>
      <c r="AA275" s="131"/>
    </row>
    <row r="276" ht="14.25" customHeight="1">
      <c r="E276" s="1"/>
      <c r="F276" s="130"/>
      <c r="AA276" s="131"/>
    </row>
    <row r="277" ht="14.25" customHeight="1">
      <c r="E277" s="1"/>
      <c r="F277" s="130"/>
      <c r="AA277" s="131"/>
    </row>
    <row r="278" ht="14.25" customHeight="1">
      <c r="E278" s="1"/>
      <c r="F278" s="130"/>
      <c r="AA278" s="131"/>
    </row>
    <row r="279" ht="14.25" customHeight="1">
      <c r="E279" s="1"/>
      <c r="F279" s="130"/>
      <c r="AA279" s="131"/>
    </row>
    <row r="280" ht="14.25" customHeight="1">
      <c r="E280" s="1"/>
      <c r="F280" s="130"/>
      <c r="AA280" s="131"/>
    </row>
    <row r="281" ht="14.25" customHeight="1">
      <c r="E281" s="1"/>
      <c r="F281" s="130"/>
      <c r="AA281" s="131"/>
    </row>
    <row r="282" ht="14.25" customHeight="1">
      <c r="E282" s="1"/>
      <c r="F282" s="130"/>
      <c r="AA282" s="131"/>
    </row>
    <row r="283" ht="14.25" customHeight="1">
      <c r="E283" s="1"/>
      <c r="F283" s="130"/>
      <c r="AA283" s="131"/>
    </row>
    <row r="284" ht="14.25" customHeight="1">
      <c r="E284" s="1"/>
      <c r="F284" s="130"/>
      <c r="AA284" s="131"/>
    </row>
    <row r="285" ht="14.25" customHeight="1">
      <c r="E285" s="1"/>
      <c r="F285" s="130"/>
      <c r="AA285" s="131"/>
    </row>
    <row r="286" ht="14.25" customHeight="1">
      <c r="E286" s="1"/>
      <c r="F286" s="130"/>
      <c r="AA286" s="131"/>
    </row>
    <row r="287" ht="14.25" customHeight="1">
      <c r="E287" s="1"/>
      <c r="F287" s="130"/>
      <c r="AA287" s="131"/>
    </row>
    <row r="288" ht="14.25" customHeight="1">
      <c r="E288" s="1"/>
      <c r="F288" s="130"/>
      <c r="AA288" s="131"/>
    </row>
    <row r="289" ht="14.25" customHeight="1">
      <c r="E289" s="1"/>
      <c r="F289" s="130"/>
      <c r="AA289" s="131"/>
    </row>
    <row r="290" ht="14.25" customHeight="1">
      <c r="E290" s="1"/>
      <c r="F290" s="130"/>
      <c r="AA290" s="131"/>
    </row>
    <row r="291" ht="14.25" customHeight="1">
      <c r="E291" s="1"/>
      <c r="F291" s="130"/>
      <c r="AA291" s="131"/>
    </row>
    <row r="292" ht="14.25" customHeight="1">
      <c r="E292" s="1"/>
      <c r="F292" s="130"/>
      <c r="AA292" s="131"/>
    </row>
    <row r="293" ht="14.25" customHeight="1">
      <c r="E293" s="1"/>
      <c r="F293" s="130"/>
      <c r="AA293" s="131"/>
    </row>
    <row r="294" ht="14.25" customHeight="1">
      <c r="E294" s="1"/>
      <c r="F294" s="130"/>
      <c r="AA294" s="131"/>
    </row>
    <row r="295" ht="14.25" customHeight="1">
      <c r="E295" s="1"/>
      <c r="F295" s="130"/>
      <c r="AA295" s="131"/>
    </row>
    <row r="296" ht="14.25" customHeight="1">
      <c r="E296" s="1"/>
      <c r="F296" s="130"/>
      <c r="AA296" s="131"/>
    </row>
    <row r="297" ht="14.25" customHeight="1">
      <c r="E297" s="1"/>
      <c r="F297" s="130"/>
      <c r="AA297" s="131"/>
    </row>
    <row r="298" ht="14.25" customHeight="1">
      <c r="E298" s="1"/>
      <c r="F298" s="130"/>
      <c r="AA298" s="131"/>
    </row>
    <row r="299" ht="14.25" customHeight="1">
      <c r="E299" s="1"/>
      <c r="F299" s="130"/>
      <c r="AA299" s="131"/>
    </row>
    <row r="300" ht="14.25" customHeight="1">
      <c r="E300" s="1"/>
      <c r="F300" s="130"/>
      <c r="AA300" s="131"/>
    </row>
    <row r="301" ht="14.25" customHeight="1">
      <c r="E301" s="1"/>
      <c r="F301" s="130"/>
      <c r="AA301" s="131"/>
    </row>
    <row r="302" ht="14.25" customHeight="1">
      <c r="E302" s="1"/>
      <c r="F302" s="130"/>
      <c r="AA302" s="131"/>
    </row>
    <row r="303" ht="14.25" customHeight="1">
      <c r="E303" s="1"/>
      <c r="F303" s="130"/>
      <c r="AA303" s="131"/>
    </row>
    <row r="304" ht="14.25" customHeight="1">
      <c r="E304" s="1"/>
      <c r="F304" s="130"/>
      <c r="AA304" s="131"/>
    </row>
    <row r="305" ht="14.25" customHeight="1">
      <c r="E305" s="1"/>
      <c r="F305" s="130"/>
      <c r="AA305" s="131"/>
    </row>
    <row r="306" ht="14.25" customHeight="1">
      <c r="E306" s="1"/>
      <c r="F306" s="130"/>
      <c r="AA306" s="131"/>
    </row>
    <row r="307" ht="14.25" customHeight="1">
      <c r="E307" s="1"/>
      <c r="F307" s="130"/>
      <c r="AA307" s="131"/>
    </row>
    <row r="308" ht="14.25" customHeight="1">
      <c r="E308" s="1"/>
      <c r="F308" s="130"/>
      <c r="AA308" s="131"/>
    </row>
    <row r="309" ht="14.25" customHeight="1">
      <c r="E309" s="1"/>
      <c r="F309" s="130"/>
      <c r="AA309" s="131"/>
    </row>
    <row r="310" ht="14.25" customHeight="1">
      <c r="E310" s="1"/>
      <c r="F310" s="130"/>
      <c r="AA310" s="131"/>
    </row>
    <row r="311" ht="14.25" customHeight="1">
      <c r="E311" s="1"/>
      <c r="F311" s="130"/>
      <c r="AA311" s="131"/>
    </row>
    <row r="312" ht="14.25" customHeight="1">
      <c r="E312" s="1"/>
      <c r="F312" s="130"/>
      <c r="AA312" s="131"/>
    </row>
    <row r="313" ht="14.25" customHeight="1">
      <c r="E313" s="1"/>
      <c r="F313" s="130"/>
      <c r="AA313" s="131"/>
    </row>
    <row r="314" ht="14.25" customHeight="1">
      <c r="E314" s="1"/>
      <c r="F314" s="130"/>
      <c r="AA314" s="131"/>
    </row>
    <row r="315" ht="14.25" customHeight="1">
      <c r="E315" s="1"/>
      <c r="F315" s="130"/>
      <c r="AA315" s="131"/>
    </row>
    <row r="316" ht="14.25" customHeight="1">
      <c r="E316" s="1"/>
      <c r="F316" s="130"/>
      <c r="AA316" s="131"/>
    </row>
    <row r="317" ht="14.25" customHeight="1">
      <c r="E317" s="1"/>
      <c r="F317" s="130"/>
      <c r="AA317" s="131"/>
    </row>
    <row r="318" ht="14.25" customHeight="1">
      <c r="E318" s="1"/>
      <c r="F318" s="130"/>
      <c r="AA318" s="131"/>
    </row>
    <row r="319" ht="14.25" customHeight="1">
      <c r="E319" s="1"/>
      <c r="F319" s="130"/>
      <c r="AA319" s="131"/>
    </row>
    <row r="320" ht="14.25" customHeight="1">
      <c r="E320" s="1"/>
      <c r="F320" s="130"/>
      <c r="AA320" s="131"/>
    </row>
    <row r="321" ht="14.25" customHeight="1">
      <c r="E321" s="1"/>
      <c r="F321" s="130"/>
      <c r="AA321" s="131"/>
    </row>
    <row r="322" ht="14.25" customHeight="1">
      <c r="E322" s="1"/>
      <c r="F322" s="130"/>
      <c r="AA322" s="131"/>
    </row>
    <row r="323" ht="14.25" customHeight="1">
      <c r="E323" s="1"/>
      <c r="F323" s="130"/>
      <c r="AA323" s="131"/>
    </row>
    <row r="324" ht="14.25" customHeight="1">
      <c r="E324" s="1"/>
      <c r="F324" s="130"/>
      <c r="AA324" s="131"/>
    </row>
    <row r="325" ht="14.25" customHeight="1">
      <c r="E325" s="1"/>
      <c r="F325" s="130"/>
      <c r="AA325" s="131"/>
    </row>
    <row r="326" ht="14.25" customHeight="1">
      <c r="E326" s="1"/>
      <c r="F326" s="130"/>
      <c r="AA326" s="131"/>
    </row>
    <row r="327" ht="14.25" customHeight="1">
      <c r="E327" s="1"/>
      <c r="F327" s="130"/>
      <c r="AA327" s="131"/>
    </row>
    <row r="328" ht="14.25" customHeight="1">
      <c r="E328" s="1"/>
      <c r="F328" s="130"/>
      <c r="AA328" s="131"/>
    </row>
    <row r="329" ht="14.25" customHeight="1">
      <c r="E329" s="1"/>
      <c r="F329" s="130"/>
      <c r="AA329" s="131"/>
    </row>
    <row r="330" ht="14.25" customHeight="1">
      <c r="E330" s="1"/>
      <c r="F330" s="130"/>
      <c r="AA330" s="131"/>
    </row>
    <row r="331" ht="14.25" customHeight="1">
      <c r="E331" s="1"/>
      <c r="F331" s="130"/>
      <c r="AA331" s="131"/>
    </row>
    <row r="332" ht="14.25" customHeight="1">
      <c r="E332" s="1"/>
      <c r="F332" s="130"/>
      <c r="AA332" s="131"/>
    </row>
    <row r="333" ht="14.25" customHeight="1">
      <c r="E333" s="1"/>
      <c r="F333" s="130"/>
      <c r="AA333" s="131"/>
    </row>
    <row r="334" ht="14.25" customHeight="1">
      <c r="E334" s="1"/>
      <c r="F334" s="130"/>
      <c r="AA334" s="131"/>
    </row>
    <row r="335" ht="14.25" customHeight="1">
      <c r="E335" s="1"/>
      <c r="F335" s="130"/>
      <c r="AA335" s="131"/>
    </row>
    <row r="336" ht="14.25" customHeight="1">
      <c r="E336" s="1"/>
      <c r="F336" s="130"/>
      <c r="AA336" s="131"/>
    </row>
    <row r="337" ht="14.25" customHeight="1">
      <c r="E337" s="1"/>
      <c r="F337" s="130"/>
      <c r="AA337" s="131"/>
    </row>
    <row r="338" ht="14.25" customHeight="1">
      <c r="E338" s="1"/>
      <c r="F338" s="130"/>
      <c r="AA338" s="131"/>
    </row>
    <row r="339" ht="14.25" customHeight="1">
      <c r="E339" s="1"/>
      <c r="F339" s="130"/>
      <c r="AA339" s="131"/>
    </row>
    <row r="340" ht="14.25" customHeight="1">
      <c r="E340" s="1"/>
      <c r="F340" s="130"/>
      <c r="AA340" s="131"/>
    </row>
    <row r="341" ht="14.25" customHeight="1">
      <c r="E341" s="1"/>
      <c r="F341" s="130"/>
      <c r="AA341" s="131"/>
    </row>
    <row r="342" ht="14.25" customHeight="1">
      <c r="E342" s="1"/>
      <c r="F342" s="130"/>
      <c r="AA342" s="131"/>
    </row>
    <row r="343" ht="14.25" customHeight="1">
      <c r="E343" s="1"/>
      <c r="F343" s="130"/>
      <c r="AA343" s="131"/>
    </row>
    <row r="344" ht="14.25" customHeight="1">
      <c r="E344" s="1"/>
      <c r="F344" s="130"/>
      <c r="AA344" s="131"/>
    </row>
    <row r="345" ht="14.25" customHeight="1">
      <c r="E345" s="1"/>
      <c r="F345" s="130"/>
      <c r="AA345" s="131"/>
    </row>
    <row r="346" ht="14.25" customHeight="1">
      <c r="E346" s="1"/>
      <c r="F346" s="130"/>
      <c r="AA346" s="131"/>
    </row>
    <row r="347" ht="14.25" customHeight="1">
      <c r="E347" s="1"/>
      <c r="F347" s="130"/>
      <c r="AA347" s="131"/>
    </row>
    <row r="348" ht="14.25" customHeight="1">
      <c r="E348" s="1"/>
      <c r="F348" s="130"/>
      <c r="AA348" s="131"/>
    </row>
    <row r="349" ht="14.25" customHeight="1">
      <c r="E349" s="1"/>
      <c r="F349" s="130"/>
      <c r="AA349" s="131"/>
    </row>
    <row r="350" ht="14.25" customHeight="1">
      <c r="E350" s="1"/>
      <c r="F350" s="130"/>
      <c r="AA350" s="131"/>
    </row>
    <row r="351" ht="14.25" customHeight="1">
      <c r="E351" s="1"/>
      <c r="F351" s="130"/>
      <c r="AA351" s="131"/>
    </row>
    <row r="352" ht="14.25" customHeight="1">
      <c r="E352" s="1"/>
      <c r="F352" s="130"/>
      <c r="AA352" s="131"/>
    </row>
    <row r="353" ht="14.25" customHeight="1">
      <c r="E353" s="1"/>
      <c r="F353" s="130"/>
      <c r="AA353" s="131"/>
    </row>
    <row r="354" ht="14.25" customHeight="1">
      <c r="E354" s="1"/>
      <c r="F354" s="130"/>
      <c r="AA354" s="131"/>
    </row>
    <row r="355" ht="14.25" customHeight="1">
      <c r="E355" s="1"/>
      <c r="F355" s="130"/>
      <c r="AA355" s="131"/>
    </row>
    <row r="356" ht="14.25" customHeight="1">
      <c r="E356" s="1"/>
      <c r="F356" s="130"/>
      <c r="AA356" s="131"/>
    </row>
    <row r="357" ht="14.25" customHeight="1">
      <c r="E357" s="1"/>
      <c r="F357" s="130"/>
      <c r="AA357" s="131"/>
    </row>
    <row r="358" ht="14.25" customHeight="1">
      <c r="E358" s="1"/>
      <c r="F358" s="130"/>
      <c r="AA358" s="131"/>
    </row>
    <row r="359" ht="14.25" customHeight="1">
      <c r="E359" s="1"/>
      <c r="F359" s="130"/>
      <c r="AA359" s="131"/>
    </row>
    <row r="360" ht="14.25" customHeight="1">
      <c r="E360" s="1"/>
      <c r="F360" s="130"/>
      <c r="AA360" s="131"/>
    </row>
    <row r="361" ht="14.25" customHeight="1">
      <c r="E361" s="1"/>
      <c r="F361" s="130"/>
      <c r="AA361" s="131"/>
    </row>
    <row r="362" ht="14.25" customHeight="1">
      <c r="E362" s="1"/>
      <c r="F362" s="130"/>
      <c r="AA362" s="131"/>
    </row>
    <row r="363" ht="14.25" customHeight="1">
      <c r="E363" s="1"/>
      <c r="F363" s="130"/>
      <c r="AA363" s="131"/>
    </row>
    <row r="364" ht="14.25" customHeight="1">
      <c r="E364" s="1"/>
      <c r="F364" s="130"/>
      <c r="AA364" s="131"/>
    </row>
    <row r="365" ht="14.25" customHeight="1">
      <c r="E365" s="1"/>
      <c r="F365" s="130"/>
      <c r="AA365" s="131"/>
    </row>
    <row r="366" ht="14.25" customHeight="1">
      <c r="E366" s="1"/>
      <c r="F366" s="130"/>
      <c r="AA366" s="131"/>
    </row>
    <row r="367" ht="14.25" customHeight="1">
      <c r="E367" s="1"/>
      <c r="F367" s="130"/>
      <c r="AA367" s="131"/>
    </row>
    <row r="368" ht="14.25" customHeight="1">
      <c r="E368" s="1"/>
      <c r="F368" s="130"/>
      <c r="AA368" s="131"/>
    </row>
    <row r="369" ht="14.25" customHeight="1">
      <c r="E369" s="1"/>
      <c r="F369" s="130"/>
      <c r="AA369" s="131"/>
    </row>
    <row r="370" ht="14.25" customHeight="1">
      <c r="E370" s="1"/>
      <c r="F370" s="130"/>
      <c r="AA370" s="131"/>
    </row>
    <row r="371" ht="14.25" customHeight="1">
      <c r="E371" s="1"/>
      <c r="F371" s="130"/>
      <c r="AA371" s="131"/>
    </row>
    <row r="372" ht="14.25" customHeight="1">
      <c r="E372" s="1"/>
      <c r="F372" s="130"/>
      <c r="AA372" s="131"/>
    </row>
    <row r="373" ht="14.25" customHeight="1">
      <c r="E373" s="1"/>
      <c r="F373" s="130"/>
      <c r="AA373" s="131"/>
    </row>
    <row r="374" ht="14.25" customHeight="1">
      <c r="E374" s="1"/>
      <c r="F374" s="130"/>
      <c r="AA374" s="131"/>
    </row>
    <row r="375" ht="14.25" customHeight="1">
      <c r="E375" s="1"/>
      <c r="F375" s="130"/>
      <c r="AA375" s="131"/>
    </row>
    <row r="376" ht="14.25" customHeight="1">
      <c r="E376" s="1"/>
      <c r="F376" s="130"/>
      <c r="AA376" s="131"/>
    </row>
    <row r="377" ht="14.25" customHeight="1">
      <c r="E377" s="1"/>
      <c r="F377" s="130"/>
      <c r="AA377" s="131"/>
    </row>
    <row r="378" ht="14.25" customHeight="1">
      <c r="E378" s="1"/>
      <c r="F378" s="130"/>
      <c r="AA378" s="131"/>
    </row>
    <row r="379" ht="14.25" customHeight="1">
      <c r="E379" s="1"/>
      <c r="F379" s="130"/>
      <c r="AA379" s="131"/>
    </row>
    <row r="380" ht="14.25" customHeight="1">
      <c r="E380" s="1"/>
      <c r="F380" s="130"/>
      <c r="AA380" s="131"/>
    </row>
    <row r="381" ht="14.25" customHeight="1">
      <c r="E381" s="1"/>
      <c r="F381" s="130"/>
      <c r="AA381" s="131"/>
    </row>
    <row r="382" ht="14.25" customHeight="1">
      <c r="E382" s="1"/>
      <c r="F382" s="130"/>
      <c r="AA382" s="131"/>
    </row>
    <row r="383" ht="14.25" customHeight="1">
      <c r="E383" s="1"/>
      <c r="F383" s="130"/>
      <c r="AA383" s="131"/>
    </row>
    <row r="384" ht="14.25" customHeight="1">
      <c r="E384" s="1"/>
      <c r="F384" s="130"/>
      <c r="AA384" s="131"/>
    </row>
    <row r="385" ht="14.25" customHeight="1">
      <c r="E385" s="1"/>
      <c r="F385" s="130"/>
      <c r="AA385" s="131"/>
    </row>
    <row r="386" ht="14.25" customHeight="1">
      <c r="E386" s="1"/>
      <c r="F386" s="130"/>
      <c r="AA386" s="131"/>
    </row>
    <row r="387" ht="14.25" customHeight="1">
      <c r="E387" s="1"/>
      <c r="F387" s="130"/>
      <c r="AA387" s="131"/>
    </row>
    <row r="388" ht="14.25" customHeight="1">
      <c r="E388" s="1"/>
      <c r="F388" s="130"/>
      <c r="AA388" s="131"/>
    </row>
    <row r="389" ht="14.25" customHeight="1">
      <c r="E389" s="1"/>
      <c r="F389" s="130"/>
      <c r="AA389" s="131"/>
    </row>
    <row r="390" ht="14.25" customHeight="1">
      <c r="E390" s="1"/>
      <c r="F390" s="130"/>
      <c r="AA390" s="131"/>
    </row>
    <row r="391" ht="14.25" customHeight="1">
      <c r="E391" s="1"/>
      <c r="F391" s="130"/>
      <c r="AA391" s="131"/>
    </row>
    <row r="392" ht="14.25" customHeight="1">
      <c r="E392" s="1"/>
      <c r="F392" s="130"/>
      <c r="AA392" s="131"/>
    </row>
    <row r="393" ht="14.25" customHeight="1">
      <c r="E393" s="1"/>
      <c r="F393" s="130"/>
      <c r="AA393" s="131"/>
    </row>
    <row r="394" ht="14.25" customHeight="1">
      <c r="E394" s="1"/>
      <c r="F394" s="130"/>
      <c r="AA394" s="131"/>
    </row>
    <row r="395" ht="14.25" customHeight="1">
      <c r="E395" s="1"/>
      <c r="F395" s="130"/>
      <c r="AA395" s="131"/>
    </row>
    <row r="396" ht="14.25" customHeight="1">
      <c r="E396" s="1"/>
      <c r="F396" s="130"/>
      <c r="AA396" s="131"/>
    </row>
    <row r="397" ht="14.25" customHeight="1">
      <c r="E397" s="1"/>
      <c r="F397" s="130"/>
      <c r="AA397" s="131"/>
    </row>
    <row r="398" ht="14.25" customHeight="1">
      <c r="E398" s="1"/>
      <c r="F398" s="130"/>
      <c r="AA398" s="131"/>
    </row>
    <row r="399" ht="14.25" customHeight="1">
      <c r="E399" s="1"/>
      <c r="F399" s="130"/>
      <c r="AA399" s="131"/>
    </row>
    <row r="400" ht="14.25" customHeight="1">
      <c r="E400" s="1"/>
      <c r="F400" s="130"/>
      <c r="AA400" s="131"/>
    </row>
    <row r="401" ht="14.25" customHeight="1">
      <c r="E401" s="1"/>
      <c r="F401" s="130"/>
      <c r="AA401" s="131"/>
    </row>
    <row r="402" ht="14.25" customHeight="1">
      <c r="E402" s="1"/>
      <c r="F402" s="130"/>
      <c r="AA402" s="131"/>
    </row>
    <row r="403" ht="14.25" customHeight="1">
      <c r="E403" s="1"/>
      <c r="F403" s="130"/>
      <c r="AA403" s="131"/>
    </row>
    <row r="404" ht="14.25" customHeight="1">
      <c r="E404" s="1"/>
      <c r="F404" s="130"/>
      <c r="AA404" s="131"/>
    </row>
    <row r="405" ht="14.25" customHeight="1">
      <c r="E405" s="1"/>
      <c r="F405" s="130"/>
      <c r="AA405" s="131"/>
    </row>
    <row r="406" ht="14.25" customHeight="1">
      <c r="E406" s="1"/>
      <c r="F406" s="130"/>
      <c r="AA406" s="131"/>
    </row>
    <row r="407" ht="14.25" customHeight="1">
      <c r="E407" s="1"/>
      <c r="F407" s="130"/>
      <c r="AA407" s="131"/>
    </row>
    <row r="408" ht="14.25" customHeight="1">
      <c r="E408" s="1"/>
      <c r="F408" s="130"/>
      <c r="AA408" s="131"/>
    </row>
    <row r="409" ht="14.25" customHeight="1">
      <c r="E409" s="1"/>
      <c r="F409" s="130"/>
      <c r="AA409" s="131"/>
    </row>
    <row r="410" ht="14.25" customHeight="1">
      <c r="E410" s="1"/>
      <c r="F410" s="130"/>
      <c r="AA410" s="131"/>
    </row>
    <row r="411" ht="14.25" customHeight="1">
      <c r="E411" s="1"/>
      <c r="F411" s="130"/>
      <c r="AA411" s="131"/>
    </row>
    <row r="412" ht="14.25" customHeight="1">
      <c r="E412" s="1"/>
      <c r="F412" s="130"/>
      <c r="AA412" s="131"/>
    </row>
    <row r="413" ht="14.25" customHeight="1">
      <c r="E413" s="1"/>
      <c r="F413" s="130"/>
      <c r="AA413" s="131"/>
    </row>
    <row r="414" ht="14.25" customHeight="1">
      <c r="E414" s="1"/>
      <c r="F414" s="130"/>
      <c r="AA414" s="131"/>
    </row>
    <row r="415" ht="14.25" customHeight="1">
      <c r="E415" s="1"/>
      <c r="F415" s="130"/>
      <c r="AA415" s="131"/>
    </row>
    <row r="416" ht="14.25" customHeight="1">
      <c r="E416" s="1"/>
      <c r="F416" s="130"/>
      <c r="AA416" s="131"/>
    </row>
    <row r="417" ht="14.25" customHeight="1">
      <c r="E417" s="1"/>
      <c r="F417" s="130"/>
      <c r="AA417" s="131"/>
    </row>
    <row r="418" ht="14.25" customHeight="1">
      <c r="E418" s="1"/>
      <c r="F418" s="130"/>
      <c r="AA418" s="131"/>
    </row>
    <row r="419" ht="14.25" customHeight="1">
      <c r="E419" s="1"/>
      <c r="F419" s="130"/>
      <c r="AA419" s="131"/>
    </row>
    <row r="420" ht="14.25" customHeight="1">
      <c r="E420" s="1"/>
      <c r="F420" s="130"/>
      <c r="AA420" s="131"/>
    </row>
    <row r="421" ht="14.25" customHeight="1">
      <c r="E421" s="1"/>
      <c r="F421" s="130"/>
      <c r="AA421" s="131"/>
    </row>
    <row r="422" ht="14.25" customHeight="1">
      <c r="E422" s="1"/>
      <c r="F422" s="130"/>
      <c r="AA422" s="131"/>
    </row>
    <row r="423" ht="14.25" customHeight="1">
      <c r="E423" s="1"/>
      <c r="F423" s="130"/>
      <c r="AA423" s="131"/>
    </row>
    <row r="424" ht="14.25" customHeight="1">
      <c r="E424" s="1"/>
      <c r="F424" s="130"/>
      <c r="AA424" s="131"/>
    </row>
    <row r="425" ht="14.25" customHeight="1">
      <c r="E425" s="1"/>
      <c r="F425" s="130"/>
      <c r="AA425" s="131"/>
    </row>
    <row r="426" ht="14.25" customHeight="1">
      <c r="E426" s="1"/>
      <c r="F426" s="130"/>
      <c r="AA426" s="131"/>
    </row>
    <row r="427" ht="14.25" customHeight="1">
      <c r="E427" s="1"/>
      <c r="F427" s="130"/>
      <c r="AA427" s="131"/>
    </row>
    <row r="428" ht="14.25" customHeight="1">
      <c r="E428" s="1"/>
      <c r="F428" s="130"/>
      <c r="AA428" s="131"/>
    </row>
    <row r="429" ht="14.25" customHeight="1">
      <c r="E429" s="1"/>
      <c r="F429" s="130"/>
      <c r="AA429" s="131"/>
    </row>
    <row r="430" ht="14.25" customHeight="1">
      <c r="E430" s="1"/>
      <c r="F430" s="130"/>
      <c r="AA430" s="131"/>
    </row>
    <row r="431" ht="14.25" customHeight="1">
      <c r="E431" s="1"/>
      <c r="F431" s="130"/>
      <c r="AA431" s="131"/>
    </row>
    <row r="432" ht="14.25" customHeight="1">
      <c r="E432" s="1"/>
      <c r="F432" s="130"/>
      <c r="AA432" s="131"/>
    </row>
    <row r="433" ht="14.25" customHeight="1">
      <c r="E433" s="1"/>
      <c r="F433" s="130"/>
      <c r="AA433" s="131"/>
    </row>
    <row r="434" ht="14.25" customHeight="1">
      <c r="E434" s="1"/>
      <c r="F434" s="130"/>
      <c r="AA434" s="131"/>
    </row>
    <row r="435" ht="14.25" customHeight="1">
      <c r="E435" s="1"/>
      <c r="F435" s="130"/>
      <c r="AA435" s="131"/>
    </row>
    <row r="436" ht="14.25" customHeight="1">
      <c r="E436" s="1"/>
      <c r="F436" s="130"/>
      <c r="AA436" s="131"/>
    </row>
    <row r="437" ht="14.25" customHeight="1">
      <c r="E437" s="1"/>
      <c r="F437" s="130"/>
      <c r="AA437" s="131"/>
    </row>
    <row r="438" ht="14.25" customHeight="1">
      <c r="E438" s="1"/>
      <c r="F438" s="130"/>
      <c r="AA438" s="131"/>
    </row>
    <row r="439" ht="14.25" customHeight="1">
      <c r="E439" s="1"/>
      <c r="F439" s="130"/>
      <c r="AA439" s="131"/>
    </row>
    <row r="440" ht="14.25" customHeight="1">
      <c r="E440" s="1"/>
      <c r="F440" s="130"/>
      <c r="AA440" s="131"/>
    </row>
    <row r="441" ht="14.25" customHeight="1">
      <c r="E441" s="1"/>
      <c r="F441" s="130"/>
      <c r="AA441" s="131"/>
    </row>
    <row r="442" ht="14.25" customHeight="1">
      <c r="E442" s="1"/>
      <c r="F442" s="130"/>
      <c r="AA442" s="131"/>
    </row>
    <row r="443" ht="14.25" customHeight="1">
      <c r="E443" s="1"/>
      <c r="F443" s="130"/>
      <c r="AA443" s="131"/>
    </row>
    <row r="444" ht="14.25" customHeight="1">
      <c r="E444" s="1"/>
      <c r="F444" s="130"/>
      <c r="AA444" s="131"/>
    </row>
    <row r="445" ht="14.25" customHeight="1">
      <c r="E445" s="1"/>
      <c r="F445" s="130"/>
      <c r="AA445" s="131"/>
    </row>
    <row r="446" ht="14.25" customHeight="1">
      <c r="E446" s="1"/>
      <c r="F446" s="130"/>
      <c r="AA446" s="131"/>
    </row>
    <row r="447" ht="14.25" customHeight="1">
      <c r="E447" s="1"/>
      <c r="F447" s="130"/>
      <c r="AA447" s="131"/>
    </row>
    <row r="448" ht="14.25" customHeight="1">
      <c r="E448" s="1"/>
      <c r="F448" s="130"/>
      <c r="AA448" s="131"/>
    </row>
    <row r="449" ht="14.25" customHeight="1">
      <c r="E449" s="1"/>
      <c r="F449" s="130"/>
      <c r="AA449" s="131"/>
    </row>
    <row r="450" ht="14.25" customHeight="1">
      <c r="E450" s="1"/>
      <c r="F450" s="130"/>
      <c r="AA450" s="131"/>
    </row>
    <row r="451" ht="14.25" customHeight="1">
      <c r="E451" s="1"/>
      <c r="F451" s="130"/>
      <c r="AA451" s="131"/>
    </row>
    <row r="452" ht="14.25" customHeight="1">
      <c r="E452" s="1"/>
      <c r="F452" s="130"/>
      <c r="AA452" s="131"/>
    </row>
    <row r="453" ht="14.25" customHeight="1">
      <c r="E453" s="1"/>
      <c r="F453" s="130"/>
      <c r="AA453" s="131"/>
    </row>
    <row r="454" ht="14.25" customHeight="1">
      <c r="E454" s="1"/>
      <c r="F454" s="130"/>
      <c r="AA454" s="131"/>
    </row>
    <row r="455" ht="14.25" customHeight="1">
      <c r="E455" s="1"/>
      <c r="F455" s="130"/>
      <c r="AA455" s="131"/>
    </row>
    <row r="456" ht="14.25" customHeight="1">
      <c r="E456" s="1"/>
      <c r="F456" s="130"/>
      <c r="AA456" s="131"/>
    </row>
    <row r="457" ht="14.25" customHeight="1">
      <c r="E457" s="1"/>
      <c r="F457" s="130"/>
      <c r="AA457" s="131"/>
    </row>
    <row r="458" ht="14.25" customHeight="1">
      <c r="E458" s="1"/>
      <c r="F458" s="130"/>
      <c r="AA458" s="131"/>
    </row>
    <row r="459" ht="14.25" customHeight="1">
      <c r="E459" s="1"/>
      <c r="F459" s="130"/>
      <c r="AA459" s="131"/>
    </row>
    <row r="460" ht="14.25" customHeight="1">
      <c r="E460" s="1"/>
      <c r="F460" s="130"/>
      <c r="AA460" s="131"/>
    </row>
    <row r="461" ht="14.25" customHeight="1">
      <c r="E461" s="1"/>
      <c r="F461" s="130"/>
      <c r="AA461" s="131"/>
    </row>
    <row r="462" ht="14.25" customHeight="1">
      <c r="E462" s="1"/>
      <c r="F462" s="130"/>
      <c r="AA462" s="131"/>
    </row>
    <row r="463" ht="14.25" customHeight="1">
      <c r="E463" s="1"/>
      <c r="F463" s="130"/>
      <c r="AA463" s="131"/>
    </row>
    <row r="464" ht="14.25" customHeight="1">
      <c r="E464" s="1"/>
      <c r="F464" s="130"/>
      <c r="AA464" s="131"/>
    </row>
    <row r="465" ht="14.25" customHeight="1">
      <c r="E465" s="1"/>
      <c r="F465" s="130"/>
      <c r="AA465" s="131"/>
    </row>
    <row r="466" ht="14.25" customHeight="1">
      <c r="E466" s="1"/>
      <c r="F466" s="130"/>
      <c r="AA466" s="131"/>
    </row>
    <row r="467" ht="14.25" customHeight="1">
      <c r="E467" s="1"/>
      <c r="F467" s="130"/>
      <c r="AA467" s="131"/>
    </row>
    <row r="468" ht="14.25" customHeight="1">
      <c r="E468" s="1"/>
      <c r="F468" s="130"/>
      <c r="AA468" s="131"/>
    </row>
    <row r="469" ht="14.25" customHeight="1">
      <c r="E469" s="1"/>
      <c r="F469" s="130"/>
      <c r="AA469" s="131"/>
    </row>
    <row r="470" ht="14.25" customHeight="1">
      <c r="E470" s="1"/>
      <c r="F470" s="130"/>
      <c r="AA470" s="131"/>
    </row>
    <row r="471" ht="14.25" customHeight="1">
      <c r="E471" s="1"/>
      <c r="F471" s="130"/>
      <c r="AA471" s="131"/>
    </row>
    <row r="472" ht="14.25" customHeight="1">
      <c r="E472" s="1"/>
      <c r="F472" s="130"/>
      <c r="AA472" s="131"/>
    </row>
    <row r="473" ht="14.25" customHeight="1">
      <c r="E473" s="1"/>
      <c r="F473" s="130"/>
      <c r="AA473" s="131"/>
    </row>
    <row r="474" ht="14.25" customHeight="1">
      <c r="E474" s="1"/>
      <c r="F474" s="130"/>
      <c r="AA474" s="131"/>
    </row>
    <row r="475" ht="14.25" customHeight="1">
      <c r="E475" s="1"/>
      <c r="F475" s="130"/>
      <c r="AA475" s="131"/>
    </row>
    <row r="476" ht="14.25" customHeight="1">
      <c r="E476" s="1"/>
      <c r="F476" s="130"/>
      <c r="AA476" s="131"/>
    </row>
    <row r="477" ht="14.25" customHeight="1">
      <c r="E477" s="1"/>
      <c r="F477" s="130"/>
      <c r="AA477" s="131"/>
    </row>
    <row r="478" ht="14.25" customHeight="1">
      <c r="E478" s="1"/>
      <c r="F478" s="130"/>
      <c r="AA478" s="131"/>
    </row>
    <row r="479" ht="14.25" customHeight="1">
      <c r="E479" s="1"/>
      <c r="F479" s="130"/>
      <c r="AA479" s="131"/>
    </row>
    <row r="480" ht="14.25" customHeight="1">
      <c r="E480" s="1"/>
      <c r="F480" s="130"/>
      <c r="AA480" s="131"/>
    </row>
    <row r="481" ht="14.25" customHeight="1">
      <c r="E481" s="1"/>
      <c r="F481" s="130"/>
      <c r="AA481" s="131"/>
    </row>
    <row r="482" ht="14.25" customHeight="1">
      <c r="E482" s="1"/>
      <c r="F482" s="130"/>
      <c r="AA482" s="131"/>
    </row>
    <row r="483" ht="14.25" customHeight="1">
      <c r="E483" s="1"/>
      <c r="F483" s="130"/>
      <c r="AA483" s="131"/>
    </row>
    <row r="484" ht="14.25" customHeight="1">
      <c r="E484" s="1"/>
      <c r="F484" s="130"/>
      <c r="AA484" s="131"/>
    </row>
    <row r="485" ht="14.25" customHeight="1">
      <c r="E485" s="1"/>
      <c r="F485" s="130"/>
      <c r="AA485" s="131"/>
    </row>
    <row r="486" ht="14.25" customHeight="1">
      <c r="E486" s="1"/>
      <c r="F486" s="130"/>
      <c r="AA486" s="131"/>
    </row>
    <row r="487" ht="14.25" customHeight="1">
      <c r="E487" s="1"/>
      <c r="F487" s="130"/>
      <c r="AA487" s="131"/>
    </row>
    <row r="488" ht="14.25" customHeight="1">
      <c r="E488" s="1"/>
      <c r="F488" s="130"/>
      <c r="AA488" s="131"/>
    </row>
    <row r="489" ht="14.25" customHeight="1">
      <c r="E489" s="1"/>
      <c r="F489" s="130"/>
      <c r="AA489" s="131"/>
    </row>
    <row r="490" ht="14.25" customHeight="1">
      <c r="E490" s="1"/>
      <c r="F490" s="130"/>
      <c r="AA490" s="131"/>
    </row>
    <row r="491" ht="14.25" customHeight="1">
      <c r="E491" s="1"/>
      <c r="F491" s="130"/>
      <c r="AA491" s="131"/>
    </row>
    <row r="492" ht="14.25" customHeight="1">
      <c r="E492" s="1"/>
      <c r="F492" s="130"/>
      <c r="AA492" s="131"/>
    </row>
    <row r="493" ht="14.25" customHeight="1">
      <c r="E493" s="1"/>
      <c r="F493" s="130"/>
      <c r="AA493" s="131"/>
    </row>
    <row r="494" ht="14.25" customHeight="1">
      <c r="E494" s="1"/>
      <c r="F494" s="130"/>
      <c r="AA494" s="131"/>
    </row>
    <row r="495" ht="14.25" customHeight="1">
      <c r="E495" s="1"/>
      <c r="F495" s="130"/>
      <c r="AA495" s="131"/>
    </row>
    <row r="496" ht="14.25" customHeight="1">
      <c r="E496" s="1"/>
      <c r="F496" s="130"/>
      <c r="AA496" s="131"/>
    </row>
    <row r="497" ht="14.25" customHeight="1">
      <c r="E497" s="1"/>
      <c r="F497" s="130"/>
      <c r="AA497" s="131"/>
    </row>
    <row r="498" ht="14.25" customHeight="1">
      <c r="E498" s="1"/>
      <c r="F498" s="130"/>
      <c r="AA498" s="131"/>
    </row>
    <row r="499" ht="14.25" customHeight="1">
      <c r="E499" s="1"/>
      <c r="F499" s="130"/>
      <c r="AA499" s="131"/>
    </row>
    <row r="500" ht="14.25" customHeight="1">
      <c r="E500" s="1"/>
      <c r="F500" s="130"/>
      <c r="AA500" s="131"/>
    </row>
    <row r="501" ht="14.25" customHeight="1">
      <c r="E501" s="1"/>
      <c r="F501" s="130"/>
      <c r="AA501" s="131"/>
    </row>
    <row r="502" ht="14.25" customHeight="1">
      <c r="E502" s="1"/>
      <c r="F502" s="130"/>
      <c r="AA502" s="131"/>
    </row>
    <row r="503" ht="14.25" customHeight="1">
      <c r="E503" s="1"/>
      <c r="F503" s="130"/>
      <c r="AA503" s="131"/>
    </row>
    <row r="504" ht="14.25" customHeight="1">
      <c r="E504" s="1"/>
      <c r="F504" s="130"/>
      <c r="AA504" s="131"/>
    </row>
    <row r="505" ht="14.25" customHeight="1">
      <c r="E505" s="1"/>
      <c r="F505" s="130"/>
      <c r="AA505" s="131"/>
    </row>
    <row r="506" ht="14.25" customHeight="1">
      <c r="E506" s="1"/>
      <c r="F506" s="130"/>
      <c r="AA506" s="131"/>
    </row>
    <row r="507" ht="14.25" customHeight="1">
      <c r="E507" s="1"/>
      <c r="F507" s="130"/>
      <c r="AA507" s="131"/>
    </row>
    <row r="508" ht="14.25" customHeight="1">
      <c r="E508" s="1"/>
      <c r="F508" s="130"/>
      <c r="AA508" s="131"/>
    </row>
    <row r="509" ht="14.25" customHeight="1">
      <c r="E509" s="1"/>
      <c r="F509" s="130"/>
      <c r="AA509" s="131"/>
    </row>
    <row r="510" ht="14.25" customHeight="1">
      <c r="E510" s="1"/>
      <c r="F510" s="130"/>
      <c r="AA510" s="131"/>
    </row>
    <row r="511" ht="14.25" customHeight="1">
      <c r="E511" s="1"/>
      <c r="F511" s="130"/>
      <c r="AA511" s="131"/>
    </row>
    <row r="512" ht="14.25" customHeight="1">
      <c r="E512" s="1"/>
      <c r="F512" s="130"/>
      <c r="AA512" s="131"/>
    </row>
    <row r="513" ht="14.25" customHeight="1">
      <c r="E513" s="1"/>
      <c r="F513" s="130"/>
      <c r="AA513" s="131"/>
    </row>
    <row r="514" ht="14.25" customHeight="1">
      <c r="E514" s="1"/>
      <c r="F514" s="130"/>
      <c r="AA514" s="131"/>
    </row>
    <row r="515" ht="14.25" customHeight="1">
      <c r="E515" s="1"/>
      <c r="F515" s="130"/>
      <c r="AA515" s="131"/>
    </row>
    <row r="516" ht="14.25" customHeight="1">
      <c r="E516" s="1"/>
      <c r="F516" s="130"/>
      <c r="AA516" s="131"/>
    </row>
    <row r="517" ht="14.25" customHeight="1">
      <c r="E517" s="1"/>
      <c r="F517" s="130"/>
      <c r="AA517" s="131"/>
    </row>
    <row r="518" ht="14.25" customHeight="1">
      <c r="E518" s="1"/>
      <c r="F518" s="130"/>
      <c r="AA518" s="131"/>
    </row>
    <row r="519" ht="14.25" customHeight="1">
      <c r="E519" s="1"/>
      <c r="F519" s="130"/>
      <c r="AA519" s="131"/>
    </row>
    <row r="520" ht="14.25" customHeight="1">
      <c r="E520" s="1"/>
      <c r="F520" s="130"/>
      <c r="AA520" s="131"/>
    </row>
    <row r="521" ht="14.25" customHeight="1">
      <c r="E521" s="1"/>
      <c r="F521" s="130"/>
      <c r="AA521" s="131"/>
    </row>
    <row r="522" ht="14.25" customHeight="1">
      <c r="E522" s="1"/>
      <c r="F522" s="130"/>
      <c r="AA522" s="131"/>
    </row>
    <row r="523" ht="14.25" customHeight="1">
      <c r="E523" s="1"/>
      <c r="F523" s="130"/>
      <c r="AA523" s="131"/>
    </row>
    <row r="524" ht="14.25" customHeight="1">
      <c r="E524" s="1"/>
      <c r="F524" s="130"/>
      <c r="AA524" s="131"/>
    </row>
    <row r="525" ht="14.25" customHeight="1">
      <c r="E525" s="1"/>
      <c r="F525" s="130"/>
      <c r="AA525" s="131"/>
    </row>
    <row r="526" ht="14.25" customHeight="1">
      <c r="E526" s="1"/>
      <c r="F526" s="130"/>
      <c r="AA526" s="131"/>
    </row>
    <row r="527" ht="14.25" customHeight="1">
      <c r="E527" s="1"/>
      <c r="F527" s="130"/>
      <c r="AA527" s="131"/>
    </row>
    <row r="528" ht="14.25" customHeight="1">
      <c r="E528" s="1"/>
      <c r="F528" s="130"/>
      <c r="AA528" s="131"/>
    </row>
    <row r="529" ht="14.25" customHeight="1">
      <c r="E529" s="1"/>
      <c r="F529" s="130"/>
      <c r="AA529" s="131"/>
    </row>
    <row r="530" ht="14.25" customHeight="1">
      <c r="E530" s="1"/>
      <c r="F530" s="130"/>
      <c r="AA530" s="131"/>
    </row>
    <row r="531" ht="14.25" customHeight="1">
      <c r="E531" s="1"/>
      <c r="F531" s="130"/>
      <c r="AA531" s="131"/>
    </row>
    <row r="532" ht="14.25" customHeight="1">
      <c r="E532" s="1"/>
      <c r="F532" s="130"/>
      <c r="AA532" s="131"/>
    </row>
    <row r="533" ht="14.25" customHeight="1">
      <c r="E533" s="1"/>
      <c r="F533" s="130"/>
      <c r="AA533" s="131"/>
    </row>
    <row r="534" ht="14.25" customHeight="1">
      <c r="E534" s="1"/>
      <c r="F534" s="130"/>
      <c r="AA534" s="131"/>
    </row>
    <row r="535" ht="14.25" customHeight="1">
      <c r="E535" s="1"/>
      <c r="F535" s="130"/>
      <c r="AA535" s="131"/>
    </row>
    <row r="536" ht="14.25" customHeight="1">
      <c r="E536" s="1"/>
      <c r="F536" s="130"/>
      <c r="AA536" s="131"/>
    </row>
    <row r="537" ht="14.25" customHeight="1">
      <c r="E537" s="1"/>
      <c r="F537" s="130"/>
      <c r="AA537" s="131"/>
    </row>
    <row r="538" ht="14.25" customHeight="1">
      <c r="E538" s="1"/>
      <c r="F538" s="130"/>
      <c r="AA538" s="131"/>
    </row>
    <row r="539" ht="14.25" customHeight="1">
      <c r="E539" s="1"/>
      <c r="F539" s="130"/>
      <c r="AA539" s="131"/>
    </row>
    <row r="540" ht="14.25" customHeight="1">
      <c r="E540" s="1"/>
      <c r="F540" s="130"/>
      <c r="AA540" s="131"/>
    </row>
    <row r="541" ht="14.25" customHeight="1">
      <c r="E541" s="1"/>
      <c r="F541" s="130"/>
      <c r="AA541" s="131"/>
    </row>
    <row r="542" ht="14.25" customHeight="1">
      <c r="E542" s="1"/>
      <c r="F542" s="130"/>
      <c r="AA542" s="131"/>
    </row>
    <row r="543" ht="14.25" customHeight="1">
      <c r="E543" s="1"/>
      <c r="F543" s="130"/>
      <c r="AA543" s="131"/>
    </row>
    <row r="544" ht="14.25" customHeight="1">
      <c r="E544" s="1"/>
      <c r="F544" s="130"/>
      <c r="AA544" s="131"/>
    </row>
    <row r="545" ht="14.25" customHeight="1">
      <c r="E545" s="1"/>
      <c r="F545" s="130"/>
      <c r="AA545" s="131"/>
    </row>
    <row r="546" ht="14.25" customHeight="1">
      <c r="E546" s="1"/>
      <c r="F546" s="130"/>
      <c r="AA546" s="131"/>
    </row>
    <row r="547" ht="14.25" customHeight="1">
      <c r="E547" s="1"/>
      <c r="F547" s="130"/>
      <c r="AA547" s="131"/>
    </row>
    <row r="548" ht="14.25" customHeight="1">
      <c r="E548" s="1"/>
      <c r="F548" s="130"/>
      <c r="AA548" s="131"/>
    </row>
    <row r="549" ht="14.25" customHeight="1">
      <c r="E549" s="1"/>
      <c r="F549" s="130"/>
      <c r="AA549" s="131"/>
    </row>
    <row r="550" ht="14.25" customHeight="1">
      <c r="E550" s="1"/>
      <c r="F550" s="130"/>
      <c r="AA550" s="131"/>
    </row>
    <row r="551" ht="14.25" customHeight="1">
      <c r="E551" s="1"/>
      <c r="F551" s="130"/>
      <c r="AA551" s="131"/>
    </row>
    <row r="552" ht="14.25" customHeight="1">
      <c r="E552" s="1"/>
      <c r="F552" s="130"/>
      <c r="AA552" s="131"/>
    </row>
    <row r="553" ht="14.25" customHeight="1">
      <c r="E553" s="1"/>
      <c r="F553" s="130"/>
      <c r="AA553" s="131"/>
    </row>
    <row r="554" ht="14.25" customHeight="1">
      <c r="E554" s="1"/>
      <c r="F554" s="130"/>
      <c r="AA554" s="131"/>
    </row>
    <row r="555" ht="14.25" customHeight="1">
      <c r="E555" s="1"/>
      <c r="F555" s="130"/>
      <c r="AA555" s="131"/>
    </row>
    <row r="556" ht="14.25" customHeight="1">
      <c r="E556" s="1"/>
      <c r="F556" s="130"/>
      <c r="AA556" s="131"/>
    </row>
    <row r="557" ht="14.25" customHeight="1">
      <c r="E557" s="1"/>
      <c r="F557" s="130"/>
      <c r="AA557" s="131"/>
    </row>
    <row r="558" ht="14.25" customHeight="1">
      <c r="E558" s="1"/>
      <c r="F558" s="130"/>
      <c r="AA558" s="131"/>
    </row>
    <row r="559" ht="14.25" customHeight="1">
      <c r="E559" s="1"/>
      <c r="F559" s="130"/>
      <c r="AA559" s="131"/>
    </row>
    <row r="560" ht="14.25" customHeight="1">
      <c r="E560" s="1"/>
      <c r="F560" s="130"/>
      <c r="AA560" s="131"/>
    </row>
    <row r="561" ht="14.25" customHeight="1">
      <c r="E561" s="1"/>
      <c r="F561" s="130"/>
      <c r="AA561" s="131"/>
    </row>
    <row r="562" ht="14.25" customHeight="1">
      <c r="E562" s="1"/>
      <c r="F562" s="130"/>
      <c r="AA562" s="131"/>
    </row>
    <row r="563" ht="14.25" customHeight="1">
      <c r="E563" s="1"/>
      <c r="F563" s="130"/>
      <c r="AA563" s="131"/>
    </row>
    <row r="564" ht="14.25" customHeight="1">
      <c r="E564" s="1"/>
      <c r="F564" s="130"/>
      <c r="AA564" s="131"/>
    </row>
    <row r="565" ht="14.25" customHeight="1">
      <c r="E565" s="1"/>
      <c r="F565" s="130"/>
      <c r="AA565" s="131"/>
    </row>
    <row r="566" ht="14.25" customHeight="1">
      <c r="E566" s="1"/>
      <c r="F566" s="130"/>
      <c r="AA566" s="131"/>
    </row>
    <row r="567" ht="14.25" customHeight="1">
      <c r="E567" s="1"/>
      <c r="F567" s="130"/>
      <c r="AA567" s="131"/>
    </row>
    <row r="568" ht="14.25" customHeight="1">
      <c r="E568" s="1"/>
      <c r="F568" s="130"/>
      <c r="AA568" s="131"/>
    </row>
    <row r="569" ht="14.25" customHeight="1">
      <c r="E569" s="1"/>
      <c r="F569" s="130"/>
      <c r="AA569" s="131"/>
    </row>
    <row r="570" ht="14.25" customHeight="1">
      <c r="E570" s="1"/>
      <c r="F570" s="130"/>
      <c r="AA570" s="131"/>
    </row>
    <row r="571" ht="14.25" customHeight="1">
      <c r="E571" s="1"/>
      <c r="F571" s="130"/>
      <c r="AA571" s="131"/>
    </row>
    <row r="572" ht="14.25" customHeight="1">
      <c r="E572" s="1"/>
      <c r="F572" s="130"/>
      <c r="AA572" s="131"/>
    </row>
    <row r="573" ht="14.25" customHeight="1">
      <c r="E573" s="1"/>
      <c r="F573" s="130"/>
      <c r="AA573" s="131"/>
    </row>
    <row r="574" ht="14.25" customHeight="1">
      <c r="E574" s="1"/>
      <c r="F574" s="130"/>
      <c r="AA574" s="131"/>
    </row>
    <row r="575" ht="14.25" customHeight="1">
      <c r="E575" s="1"/>
      <c r="F575" s="130"/>
      <c r="AA575" s="131"/>
    </row>
    <row r="576" ht="14.25" customHeight="1">
      <c r="E576" s="1"/>
      <c r="F576" s="130"/>
      <c r="AA576" s="131"/>
    </row>
    <row r="577" ht="14.25" customHeight="1">
      <c r="E577" s="1"/>
      <c r="F577" s="130"/>
      <c r="AA577" s="131"/>
    </row>
    <row r="578" ht="14.25" customHeight="1">
      <c r="E578" s="1"/>
      <c r="F578" s="130"/>
      <c r="AA578" s="131"/>
    </row>
    <row r="579" ht="14.25" customHeight="1">
      <c r="E579" s="1"/>
      <c r="F579" s="130"/>
      <c r="AA579" s="131"/>
    </row>
    <row r="580" ht="14.25" customHeight="1">
      <c r="E580" s="1"/>
      <c r="F580" s="130"/>
      <c r="AA580" s="131"/>
    </row>
    <row r="581" ht="14.25" customHeight="1">
      <c r="E581" s="1"/>
      <c r="F581" s="130"/>
      <c r="AA581" s="131"/>
    </row>
    <row r="582" ht="14.25" customHeight="1">
      <c r="E582" s="1"/>
      <c r="F582" s="130"/>
      <c r="AA582" s="131"/>
    </row>
    <row r="583" ht="14.25" customHeight="1">
      <c r="E583" s="1"/>
      <c r="F583" s="130"/>
      <c r="AA583" s="131"/>
    </row>
    <row r="584" ht="14.25" customHeight="1">
      <c r="E584" s="1"/>
      <c r="F584" s="130"/>
      <c r="AA584" s="131"/>
    </row>
    <row r="585" ht="14.25" customHeight="1">
      <c r="E585" s="1"/>
      <c r="F585" s="130"/>
      <c r="AA585" s="131"/>
    </row>
    <row r="586" ht="14.25" customHeight="1">
      <c r="E586" s="1"/>
      <c r="F586" s="130"/>
      <c r="AA586" s="131"/>
    </row>
    <row r="587" ht="14.25" customHeight="1">
      <c r="E587" s="1"/>
      <c r="F587" s="130"/>
      <c r="AA587" s="131"/>
    </row>
    <row r="588" ht="14.25" customHeight="1">
      <c r="E588" s="1"/>
      <c r="F588" s="130"/>
      <c r="AA588" s="131"/>
    </row>
    <row r="589" ht="14.25" customHeight="1">
      <c r="E589" s="1"/>
      <c r="F589" s="130"/>
      <c r="AA589" s="131"/>
    </row>
    <row r="590" ht="14.25" customHeight="1">
      <c r="E590" s="1"/>
      <c r="F590" s="130"/>
      <c r="AA590" s="131"/>
    </row>
    <row r="591" ht="14.25" customHeight="1">
      <c r="E591" s="1"/>
      <c r="F591" s="130"/>
      <c r="AA591" s="131"/>
    </row>
    <row r="592" ht="14.25" customHeight="1">
      <c r="E592" s="1"/>
      <c r="F592" s="130"/>
      <c r="AA592" s="131"/>
    </row>
    <row r="593" ht="14.25" customHeight="1">
      <c r="E593" s="1"/>
      <c r="F593" s="130"/>
      <c r="AA593" s="131"/>
    </row>
    <row r="594" ht="14.25" customHeight="1">
      <c r="E594" s="1"/>
      <c r="F594" s="130"/>
      <c r="AA594" s="131"/>
    </row>
    <row r="595" ht="14.25" customHeight="1">
      <c r="E595" s="1"/>
      <c r="F595" s="130"/>
      <c r="AA595" s="131"/>
    </row>
    <row r="596" ht="14.25" customHeight="1">
      <c r="E596" s="1"/>
      <c r="F596" s="130"/>
      <c r="AA596" s="131"/>
    </row>
    <row r="597" ht="14.25" customHeight="1">
      <c r="E597" s="1"/>
      <c r="F597" s="130"/>
      <c r="AA597" s="131"/>
    </row>
    <row r="598" ht="14.25" customHeight="1">
      <c r="E598" s="1"/>
      <c r="F598" s="130"/>
      <c r="AA598" s="131"/>
    </row>
    <row r="599" ht="14.25" customHeight="1">
      <c r="E599" s="1"/>
      <c r="F599" s="130"/>
      <c r="AA599" s="131"/>
    </row>
    <row r="600" ht="14.25" customHeight="1">
      <c r="E600" s="1"/>
      <c r="F600" s="130"/>
      <c r="AA600" s="131"/>
    </row>
    <row r="601" ht="14.25" customHeight="1">
      <c r="E601" s="1"/>
      <c r="F601" s="130"/>
      <c r="AA601" s="131"/>
    </row>
    <row r="602" ht="14.25" customHeight="1">
      <c r="E602" s="1"/>
      <c r="F602" s="130"/>
      <c r="AA602" s="131"/>
    </row>
    <row r="603" ht="14.25" customHeight="1">
      <c r="E603" s="1"/>
      <c r="F603" s="130"/>
      <c r="AA603" s="131"/>
    </row>
    <row r="604" ht="14.25" customHeight="1">
      <c r="E604" s="1"/>
      <c r="F604" s="130"/>
      <c r="AA604" s="131"/>
    </row>
    <row r="605" ht="14.25" customHeight="1">
      <c r="E605" s="1"/>
      <c r="F605" s="130"/>
      <c r="AA605" s="131"/>
    </row>
    <row r="606" ht="14.25" customHeight="1">
      <c r="E606" s="1"/>
      <c r="F606" s="130"/>
      <c r="AA606" s="131"/>
    </row>
    <row r="607" ht="14.25" customHeight="1">
      <c r="E607" s="1"/>
      <c r="F607" s="130"/>
      <c r="AA607" s="131"/>
    </row>
    <row r="608" ht="14.25" customHeight="1">
      <c r="E608" s="1"/>
      <c r="F608" s="130"/>
      <c r="AA608" s="131"/>
    </row>
    <row r="609" ht="14.25" customHeight="1">
      <c r="E609" s="1"/>
      <c r="F609" s="130"/>
      <c r="AA609" s="131"/>
    </row>
    <row r="610" ht="14.25" customHeight="1">
      <c r="E610" s="1"/>
      <c r="F610" s="130"/>
      <c r="AA610" s="131"/>
    </row>
    <row r="611" ht="14.25" customHeight="1">
      <c r="E611" s="1"/>
      <c r="F611" s="130"/>
      <c r="AA611" s="131"/>
    </row>
    <row r="612" ht="14.25" customHeight="1">
      <c r="E612" s="1"/>
      <c r="F612" s="130"/>
      <c r="AA612" s="131"/>
    </row>
    <row r="613" ht="14.25" customHeight="1">
      <c r="E613" s="1"/>
      <c r="F613" s="130"/>
      <c r="AA613" s="131"/>
    </row>
    <row r="614" ht="14.25" customHeight="1">
      <c r="E614" s="1"/>
      <c r="F614" s="130"/>
      <c r="AA614" s="131"/>
    </row>
    <row r="615" ht="14.25" customHeight="1">
      <c r="E615" s="1"/>
      <c r="F615" s="130"/>
      <c r="AA615" s="131"/>
    </row>
    <row r="616" ht="14.25" customHeight="1">
      <c r="E616" s="1"/>
      <c r="F616" s="130"/>
      <c r="AA616" s="131"/>
    </row>
    <row r="617" ht="14.25" customHeight="1">
      <c r="E617" s="1"/>
      <c r="F617" s="130"/>
      <c r="AA617" s="131"/>
    </row>
    <row r="618" ht="14.25" customHeight="1">
      <c r="E618" s="1"/>
      <c r="F618" s="130"/>
      <c r="AA618" s="131"/>
    </row>
    <row r="619" ht="14.25" customHeight="1">
      <c r="E619" s="1"/>
      <c r="F619" s="130"/>
      <c r="AA619" s="131"/>
    </row>
    <row r="620" ht="14.25" customHeight="1">
      <c r="E620" s="1"/>
      <c r="F620" s="130"/>
      <c r="AA620" s="131"/>
    </row>
    <row r="621" ht="14.25" customHeight="1">
      <c r="E621" s="1"/>
      <c r="F621" s="130"/>
      <c r="AA621" s="131"/>
    </row>
    <row r="622" ht="14.25" customHeight="1">
      <c r="E622" s="1"/>
      <c r="F622" s="130"/>
      <c r="AA622" s="131"/>
    </row>
    <row r="623" ht="14.25" customHeight="1">
      <c r="E623" s="1"/>
      <c r="F623" s="130"/>
      <c r="AA623" s="131"/>
    </row>
    <row r="624" ht="14.25" customHeight="1">
      <c r="E624" s="1"/>
      <c r="F624" s="130"/>
      <c r="AA624" s="131"/>
    </row>
    <row r="625" ht="14.25" customHeight="1">
      <c r="E625" s="1"/>
      <c r="F625" s="130"/>
      <c r="AA625" s="131"/>
    </row>
    <row r="626" ht="14.25" customHeight="1">
      <c r="E626" s="1"/>
      <c r="F626" s="130"/>
      <c r="AA626" s="131"/>
    </row>
    <row r="627" ht="14.25" customHeight="1">
      <c r="E627" s="1"/>
      <c r="F627" s="130"/>
      <c r="AA627" s="131"/>
    </row>
    <row r="628" ht="14.25" customHeight="1">
      <c r="E628" s="1"/>
      <c r="F628" s="130"/>
      <c r="AA628" s="131"/>
    </row>
    <row r="629" ht="14.25" customHeight="1">
      <c r="E629" s="1"/>
      <c r="F629" s="130"/>
      <c r="AA629" s="131"/>
    </row>
    <row r="630" ht="14.25" customHeight="1">
      <c r="E630" s="1"/>
      <c r="F630" s="130"/>
      <c r="AA630" s="131"/>
    </row>
    <row r="631" ht="14.25" customHeight="1">
      <c r="E631" s="1"/>
      <c r="F631" s="130"/>
      <c r="AA631" s="131"/>
    </row>
    <row r="632" ht="14.25" customHeight="1">
      <c r="E632" s="1"/>
      <c r="F632" s="130"/>
      <c r="AA632" s="131"/>
    </row>
    <row r="633" ht="14.25" customHeight="1">
      <c r="E633" s="1"/>
      <c r="F633" s="130"/>
      <c r="AA633" s="131"/>
    </row>
    <row r="634" ht="14.25" customHeight="1">
      <c r="E634" s="1"/>
      <c r="F634" s="130"/>
      <c r="AA634" s="131"/>
    </row>
    <row r="635" ht="14.25" customHeight="1">
      <c r="E635" s="1"/>
      <c r="F635" s="130"/>
      <c r="AA635" s="131"/>
    </row>
    <row r="636" ht="14.25" customHeight="1">
      <c r="E636" s="1"/>
      <c r="F636" s="130"/>
      <c r="AA636" s="131"/>
    </row>
    <row r="637" ht="14.25" customHeight="1">
      <c r="E637" s="1"/>
      <c r="F637" s="130"/>
      <c r="AA637" s="131"/>
    </row>
    <row r="638" ht="14.25" customHeight="1">
      <c r="E638" s="1"/>
      <c r="F638" s="130"/>
      <c r="AA638" s="131"/>
    </row>
    <row r="639" ht="14.25" customHeight="1">
      <c r="E639" s="1"/>
      <c r="F639" s="130"/>
      <c r="AA639" s="131"/>
    </row>
    <row r="640" ht="14.25" customHeight="1">
      <c r="E640" s="1"/>
      <c r="F640" s="130"/>
      <c r="AA640" s="131"/>
    </row>
    <row r="641" ht="14.25" customHeight="1">
      <c r="E641" s="1"/>
      <c r="F641" s="130"/>
      <c r="AA641" s="131"/>
    </row>
    <row r="642" ht="14.25" customHeight="1">
      <c r="E642" s="1"/>
      <c r="F642" s="130"/>
      <c r="AA642" s="131"/>
    </row>
    <row r="643" ht="14.25" customHeight="1">
      <c r="E643" s="1"/>
      <c r="F643" s="130"/>
      <c r="AA643" s="131"/>
    </row>
    <row r="644" ht="14.25" customHeight="1">
      <c r="E644" s="1"/>
      <c r="F644" s="130"/>
      <c r="AA644" s="131"/>
    </row>
    <row r="645" ht="14.25" customHeight="1">
      <c r="E645" s="1"/>
      <c r="F645" s="130"/>
      <c r="AA645" s="131"/>
    </row>
    <row r="646" ht="14.25" customHeight="1">
      <c r="E646" s="1"/>
      <c r="F646" s="130"/>
      <c r="AA646" s="131"/>
    </row>
    <row r="647" ht="14.25" customHeight="1">
      <c r="E647" s="1"/>
      <c r="F647" s="130"/>
      <c r="AA647" s="131"/>
    </row>
    <row r="648" ht="14.25" customHeight="1">
      <c r="E648" s="1"/>
      <c r="F648" s="130"/>
      <c r="AA648" s="131"/>
    </row>
    <row r="649" ht="14.25" customHeight="1">
      <c r="E649" s="1"/>
      <c r="F649" s="130"/>
      <c r="AA649" s="131"/>
    </row>
    <row r="650" ht="14.25" customHeight="1">
      <c r="E650" s="1"/>
      <c r="F650" s="130"/>
      <c r="AA650" s="131"/>
    </row>
    <row r="651" ht="14.25" customHeight="1">
      <c r="E651" s="1"/>
      <c r="F651" s="130"/>
      <c r="AA651" s="131"/>
    </row>
    <row r="652" ht="14.25" customHeight="1">
      <c r="E652" s="1"/>
      <c r="F652" s="130"/>
      <c r="AA652" s="131"/>
    </row>
    <row r="653" ht="14.25" customHeight="1">
      <c r="E653" s="1"/>
      <c r="F653" s="130"/>
      <c r="AA653" s="131"/>
    </row>
    <row r="654" ht="14.25" customHeight="1">
      <c r="E654" s="1"/>
      <c r="F654" s="130"/>
      <c r="AA654" s="131"/>
    </row>
    <row r="655" ht="14.25" customHeight="1">
      <c r="E655" s="1"/>
      <c r="F655" s="130"/>
      <c r="AA655" s="131"/>
    </row>
    <row r="656" ht="14.25" customHeight="1">
      <c r="E656" s="1"/>
      <c r="F656" s="130"/>
      <c r="AA656" s="131"/>
    </row>
    <row r="657" ht="14.25" customHeight="1">
      <c r="E657" s="1"/>
      <c r="F657" s="130"/>
      <c r="AA657" s="131"/>
    </row>
    <row r="658" ht="14.25" customHeight="1">
      <c r="E658" s="1"/>
      <c r="F658" s="130"/>
      <c r="AA658" s="131"/>
    </row>
    <row r="659" ht="14.25" customHeight="1">
      <c r="E659" s="1"/>
      <c r="F659" s="130"/>
      <c r="AA659" s="131"/>
    </row>
    <row r="660" ht="14.25" customHeight="1">
      <c r="E660" s="1"/>
      <c r="F660" s="130"/>
      <c r="AA660" s="131"/>
    </row>
    <row r="661" ht="14.25" customHeight="1">
      <c r="E661" s="1"/>
      <c r="F661" s="130"/>
      <c r="AA661" s="131"/>
    </row>
    <row r="662" ht="14.25" customHeight="1">
      <c r="E662" s="1"/>
      <c r="F662" s="130"/>
      <c r="AA662" s="131"/>
    </row>
    <row r="663" ht="14.25" customHeight="1">
      <c r="E663" s="1"/>
      <c r="F663" s="130"/>
      <c r="AA663" s="131"/>
    </row>
    <row r="664" ht="14.25" customHeight="1">
      <c r="E664" s="1"/>
      <c r="F664" s="130"/>
      <c r="AA664" s="131"/>
    </row>
    <row r="665" ht="14.25" customHeight="1">
      <c r="E665" s="1"/>
      <c r="F665" s="130"/>
      <c r="AA665" s="131"/>
    </row>
    <row r="666" ht="14.25" customHeight="1">
      <c r="E666" s="1"/>
      <c r="F666" s="130"/>
      <c r="AA666" s="131"/>
    </row>
    <row r="667" ht="14.25" customHeight="1">
      <c r="E667" s="1"/>
      <c r="F667" s="130"/>
      <c r="AA667" s="131"/>
    </row>
    <row r="668" ht="14.25" customHeight="1">
      <c r="E668" s="1"/>
      <c r="F668" s="130"/>
      <c r="AA668" s="131"/>
    </row>
    <row r="669" ht="14.25" customHeight="1">
      <c r="E669" s="1"/>
      <c r="F669" s="130"/>
      <c r="AA669" s="131"/>
    </row>
    <row r="670" ht="14.25" customHeight="1">
      <c r="E670" s="1"/>
      <c r="F670" s="130"/>
      <c r="AA670" s="131"/>
    </row>
    <row r="671" ht="14.25" customHeight="1">
      <c r="E671" s="1"/>
      <c r="F671" s="130"/>
      <c r="AA671" s="131"/>
    </row>
    <row r="672" ht="14.25" customHeight="1">
      <c r="E672" s="1"/>
      <c r="F672" s="130"/>
      <c r="AA672" s="131"/>
    </row>
    <row r="673" ht="14.25" customHeight="1">
      <c r="E673" s="1"/>
      <c r="F673" s="130"/>
      <c r="AA673" s="131"/>
    </row>
    <row r="674" ht="14.25" customHeight="1">
      <c r="E674" s="1"/>
      <c r="F674" s="130"/>
      <c r="AA674" s="131"/>
    </row>
    <row r="675" ht="14.25" customHeight="1">
      <c r="E675" s="1"/>
      <c r="F675" s="130"/>
      <c r="AA675" s="131"/>
    </row>
    <row r="676" ht="14.25" customHeight="1">
      <c r="E676" s="1"/>
      <c r="F676" s="130"/>
      <c r="AA676" s="131"/>
    </row>
    <row r="677" ht="14.25" customHeight="1">
      <c r="E677" s="1"/>
      <c r="F677" s="130"/>
      <c r="AA677" s="131"/>
    </row>
    <row r="678" ht="14.25" customHeight="1">
      <c r="E678" s="1"/>
      <c r="F678" s="130"/>
      <c r="AA678" s="131"/>
    </row>
    <row r="679" ht="14.25" customHeight="1">
      <c r="E679" s="1"/>
      <c r="F679" s="130"/>
      <c r="AA679" s="131"/>
    </row>
    <row r="680" ht="14.25" customHeight="1">
      <c r="E680" s="1"/>
      <c r="F680" s="130"/>
      <c r="AA680" s="131"/>
    </row>
    <row r="681" ht="14.25" customHeight="1">
      <c r="E681" s="1"/>
      <c r="F681" s="130"/>
      <c r="AA681" s="131"/>
    </row>
    <row r="682" ht="14.25" customHeight="1">
      <c r="E682" s="1"/>
      <c r="F682" s="130"/>
      <c r="AA682" s="131"/>
    </row>
    <row r="683" ht="14.25" customHeight="1">
      <c r="E683" s="1"/>
      <c r="F683" s="130"/>
      <c r="AA683" s="131"/>
    </row>
    <row r="684" ht="14.25" customHeight="1">
      <c r="E684" s="1"/>
      <c r="F684" s="130"/>
      <c r="AA684" s="131"/>
    </row>
    <row r="685" ht="14.25" customHeight="1">
      <c r="E685" s="1"/>
      <c r="F685" s="130"/>
      <c r="AA685" s="131"/>
    </row>
    <row r="686" ht="14.25" customHeight="1">
      <c r="E686" s="1"/>
      <c r="F686" s="130"/>
      <c r="AA686" s="131"/>
    </row>
    <row r="687" ht="14.25" customHeight="1">
      <c r="E687" s="1"/>
      <c r="F687" s="130"/>
      <c r="AA687" s="131"/>
    </row>
    <row r="688" ht="14.25" customHeight="1">
      <c r="E688" s="1"/>
      <c r="F688" s="130"/>
      <c r="AA688" s="131"/>
    </row>
    <row r="689" ht="14.25" customHeight="1">
      <c r="E689" s="1"/>
      <c r="F689" s="130"/>
      <c r="AA689" s="131"/>
    </row>
    <row r="690" ht="14.25" customHeight="1">
      <c r="E690" s="1"/>
      <c r="F690" s="130"/>
      <c r="AA690" s="131"/>
    </row>
    <row r="691" ht="14.25" customHeight="1">
      <c r="E691" s="1"/>
      <c r="F691" s="130"/>
      <c r="AA691" s="131"/>
    </row>
    <row r="692" ht="14.25" customHeight="1">
      <c r="E692" s="1"/>
      <c r="F692" s="130"/>
      <c r="AA692" s="131"/>
    </row>
    <row r="693" ht="14.25" customHeight="1">
      <c r="E693" s="1"/>
      <c r="F693" s="130"/>
      <c r="AA693" s="131"/>
    </row>
    <row r="694" ht="14.25" customHeight="1">
      <c r="E694" s="1"/>
      <c r="F694" s="130"/>
      <c r="AA694" s="131"/>
    </row>
    <row r="695" ht="14.25" customHeight="1">
      <c r="E695" s="1"/>
      <c r="F695" s="130"/>
      <c r="AA695" s="131"/>
    </row>
    <row r="696" ht="14.25" customHeight="1">
      <c r="E696" s="1"/>
      <c r="F696" s="130"/>
      <c r="AA696" s="131"/>
    </row>
    <row r="697" ht="14.25" customHeight="1">
      <c r="E697" s="1"/>
      <c r="F697" s="130"/>
      <c r="AA697" s="131"/>
    </row>
    <row r="698" ht="14.25" customHeight="1">
      <c r="E698" s="1"/>
      <c r="F698" s="130"/>
      <c r="AA698" s="131"/>
    </row>
    <row r="699" ht="14.25" customHeight="1">
      <c r="E699" s="1"/>
      <c r="F699" s="130"/>
      <c r="AA699" s="131"/>
    </row>
    <row r="700" ht="14.25" customHeight="1">
      <c r="E700" s="1"/>
      <c r="F700" s="130"/>
      <c r="AA700" s="131"/>
    </row>
    <row r="701" ht="14.25" customHeight="1">
      <c r="E701" s="1"/>
      <c r="F701" s="130"/>
      <c r="AA701" s="131"/>
    </row>
    <row r="702" ht="14.25" customHeight="1">
      <c r="E702" s="1"/>
      <c r="F702" s="130"/>
      <c r="AA702" s="131"/>
    </row>
    <row r="703" ht="14.25" customHeight="1">
      <c r="E703" s="1"/>
      <c r="F703" s="130"/>
      <c r="AA703" s="131"/>
    </row>
    <row r="704" ht="14.25" customHeight="1">
      <c r="E704" s="1"/>
      <c r="F704" s="130"/>
      <c r="AA704" s="131"/>
    </row>
    <row r="705" ht="14.25" customHeight="1">
      <c r="E705" s="1"/>
      <c r="F705" s="130"/>
      <c r="AA705" s="131"/>
    </row>
    <row r="706" ht="14.25" customHeight="1">
      <c r="E706" s="1"/>
      <c r="F706" s="130"/>
      <c r="AA706" s="131"/>
    </row>
    <row r="707" ht="14.25" customHeight="1">
      <c r="E707" s="1"/>
      <c r="F707" s="130"/>
      <c r="AA707" s="131"/>
    </row>
    <row r="708" ht="14.25" customHeight="1">
      <c r="E708" s="1"/>
      <c r="F708" s="130"/>
      <c r="AA708" s="131"/>
    </row>
    <row r="709" ht="14.25" customHeight="1">
      <c r="E709" s="1"/>
      <c r="F709" s="130"/>
      <c r="AA709" s="131"/>
    </row>
    <row r="710" ht="14.25" customHeight="1">
      <c r="E710" s="1"/>
      <c r="F710" s="130"/>
      <c r="AA710" s="131"/>
    </row>
    <row r="711" ht="14.25" customHeight="1">
      <c r="E711" s="1"/>
      <c r="F711" s="130"/>
      <c r="AA711" s="131"/>
    </row>
    <row r="712" ht="14.25" customHeight="1">
      <c r="E712" s="1"/>
      <c r="F712" s="130"/>
      <c r="AA712" s="131"/>
    </row>
    <row r="713" ht="14.25" customHeight="1">
      <c r="E713" s="1"/>
      <c r="F713" s="130"/>
      <c r="AA713" s="131"/>
    </row>
    <row r="714" ht="14.25" customHeight="1">
      <c r="E714" s="1"/>
      <c r="F714" s="130"/>
      <c r="AA714" s="131"/>
    </row>
    <row r="715" ht="14.25" customHeight="1">
      <c r="E715" s="1"/>
      <c r="F715" s="130"/>
      <c r="AA715" s="131"/>
    </row>
    <row r="716" ht="14.25" customHeight="1">
      <c r="E716" s="1"/>
      <c r="F716" s="130"/>
      <c r="AA716" s="131"/>
    </row>
    <row r="717" ht="14.25" customHeight="1">
      <c r="E717" s="1"/>
      <c r="F717" s="130"/>
      <c r="AA717" s="131"/>
    </row>
    <row r="718" ht="14.25" customHeight="1">
      <c r="E718" s="1"/>
      <c r="F718" s="130"/>
      <c r="AA718" s="131"/>
    </row>
    <row r="719" ht="14.25" customHeight="1">
      <c r="E719" s="1"/>
      <c r="F719" s="130"/>
      <c r="AA719" s="131"/>
    </row>
    <row r="720" ht="14.25" customHeight="1">
      <c r="E720" s="1"/>
      <c r="F720" s="130"/>
      <c r="AA720" s="131"/>
    </row>
    <row r="721" ht="14.25" customHeight="1">
      <c r="E721" s="1"/>
      <c r="F721" s="130"/>
      <c r="AA721" s="131"/>
    </row>
    <row r="722" ht="14.25" customHeight="1">
      <c r="E722" s="1"/>
      <c r="F722" s="130"/>
      <c r="AA722" s="131"/>
    </row>
    <row r="723" ht="14.25" customHeight="1">
      <c r="E723" s="1"/>
      <c r="F723" s="130"/>
      <c r="AA723" s="131"/>
    </row>
    <row r="724" ht="14.25" customHeight="1">
      <c r="E724" s="1"/>
      <c r="F724" s="130"/>
      <c r="AA724" s="131"/>
    </row>
    <row r="725" ht="14.25" customHeight="1">
      <c r="E725" s="1"/>
      <c r="F725" s="130"/>
      <c r="AA725" s="131"/>
    </row>
    <row r="726" ht="14.25" customHeight="1">
      <c r="E726" s="1"/>
      <c r="F726" s="130"/>
      <c r="AA726" s="131"/>
    </row>
    <row r="727" ht="14.25" customHeight="1">
      <c r="E727" s="1"/>
      <c r="F727" s="130"/>
      <c r="AA727" s="131"/>
    </row>
    <row r="728" ht="14.25" customHeight="1">
      <c r="E728" s="1"/>
      <c r="F728" s="130"/>
      <c r="AA728" s="131"/>
    </row>
    <row r="729" ht="14.25" customHeight="1">
      <c r="E729" s="1"/>
      <c r="F729" s="130"/>
      <c r="AA729" s="131"/>
    </row>
    <row r="730" ht="14.25" customHeight="1">
      <c r="E730" s="1"/>
      <c r="F730" s="130"/>
      <c r="AA730" s="131"/>
    </row>
    <row r="731" ht="14.25" customHeight="1">
      <c r="E731" s="1"/>
      <c r="F731" s="130"/>
      <c r="AA731" s="131"/>
    </row>
    <row r="732" ht="14.25" customHeight="1">
      <c r="E732" s="1"/>
      <c r="F732" s="130"/>
      <c r="AA732" s="131"/>
    </row>
    <row r="733" ht="14.25" customHeight="1">
      <c r="E733" s="1"/>
      <c r="F733" s="130"/>
      <c r="AA733" s="131"/>
    </row>
    <row r="734" ht="14.25" customHeight="1">
      <c r="E734" s="1"/>
      <c r="F734" s="130"/>
      <c r="AA734" s="131"/>
    </row>
    <row r="735" ht="14.25" customHeight="1">
      <c r="E735" s="1"/>
      <c r="F735" s="130"/>
      <c r="AA735" s="131"/>
    </row>
    <row r="736" ht="14.25" customHeight="1">
      <c r="E736" s="1"/>
      <c r="F736" s="130"/>
      <c r="AA736" s="131"/>
    </row>
    <row r="737" ht="14.25" customHeight="1">
      <c r="E737" s="1"/>
      <c r="F737" s="130"/>
      <c r="AA737" s="131"/>
    </row>
    <row r="738" ht="14.25" customHeight="1">
      <c r="E738" s="1"/>
      <c r="F738" s="130"/>
      <c r="AA738" s="131"/>
    </row>
    <row r="739" ht="14.25" customHeight="1">
      <c r="E739" s="1"/>
      <c r="F739" s="130"/>
      <c r="AA739" s="131"/>
    </row>
    <row r="740" ht="14.25" customHeight="1">
      <c r="E740" s="1"/>
      <c r="F740" s="130"/>
      <c r="AA740" s="131"/>
    </row>
    <row r="741" ht="14.25" customHeight="1">
      <c r="E741" s="1"/>
      <c r="F741" s="130"/>
      <c r="AA741" s="131"/>
    </row>
    <row r="742" ht="14.25" customHeight="1">
      <c r="E742" s="1"/>
      <c r="F742" s="130"/>
      <c r="AA742" s="131"/>
    </row>
    <row r="743" ht="14.25" customHeight="1">
      <c r="E743" s="1"/>
      <c r="F743" s="130"/>
      <c r="AA743" s="131"/>
    </row>
    <row r="744" ht="14.25" customHeight="1">
      <c r="E744" s="1"/>
      <c r="F744" s="130"/>
      <c r="AA744" s="131"/>
    </row>
    <row r="745" ht="14.25" customHeight="1">
      <c r="E745" s="1"/>
      <c r="F745" s="130"/>
      <c r="AA745" s="131"/>
    </row>
    <row r="746" ht="14.25" customHeight="1">
      <c r="E746" s="1"/>
      <c r="F746" s="130"/>
      <c r="AA746" s="131"/>
    </row>
    <row r="747" ht="14.25" customHeight="1">
      <c r="E747" s="1"/>
      <c r="F747" s="130"/>
      <c r="AA747" s="131"/>
    </row>
    <row r="748" ht="14.25" customHeight="1">
      <c r="E748" s="1"/>
      <c r="F748" s="130"/>
      <c r="AA748" s="131"/>
    </row>
    <row r="749" ht="14.25" customHeight="1">
      <c r="E749" s="1"/>
      <c r="F749" s="130"/>
      <c r="AA749" s="131"/>
    </row>
    <row r="750" ht="14.25" customHeight="1">
      <c r="E750" s="1"/>
      <c r="F750" s="130"/>
      <c r="AA750" s="131"/>
    </row>
    <row r="751" ht="14.25" customHeight="1">
      <c r="E751" s="1"/>
      <c r="F751" s="130"/>
      <c r="AA751" s="131"/>
    </row>
    <row r="752" ht="14.25" customHeight="1">
      <c r="E752" s="1"/>
      <c r="F752" s="130"/>
      <c r="AA752" s="131"/>
    </row>
    <row r="753" ht="14.25" customHeight="1">
      <c r="E753" s="1"/>
      <c r="F753" s="130"/>
      <c r="AA753" s="131"/>
    </row>
    <row r="754" ht="14.25" customHeight="1">
      <c r="E754" s="1"/>
      <c r="F754" s="130"/>
      <c r="AA754" s="131"/>
    </row>
    <row r="755" ht="14.25" customHeight="1">
      <c r="E755" s="1"/>
      <c r="F755" s="130"/>
      <c r="AA755" s="131"/>
    </row>
    <row r="756" ht="14.25" customHeight="1">
      <c r="E756" s="1"/>
      <c r="F756" s="130"/>
      <c r="AA756" s="131"/>
    </row>
    <row r="757" ht="14.25" customHeight="1">
      <c r="E757" s="1"/>
      <c r="F757" s="130"/>
      <c r="AA757" s="131"/>
    </row>
    <row r="758" ht="14.25" customHeight="1">
      <c r="E758" s="1"/>
      <c r="F758" s="130"/>
      <c r="AA758" s="131"/>
    </row>
    <row r="759" ht="14.25" customHeight="1">
      <c r="E759" s="1"/>
      <c r="F759" s="130"/>
      <c r="AA759" s="131"/>
    </row>
    <row r="760" ht="14.25" customHeight="1">
      <c r="E760" s="1"/>
      <c r="F760" s="130"/>
      <c r="AA760" s="131"/>
    </row>
    <row r="761" ht="14.25" customHeight="1">
      <c r="E761" s="1"/>
      <c r="F761" s="130"/>
      <c r="AA761" s="131"/>
    </row>
    <row r="762" ht="14.25" customHeight="1">
      <c r="E762" s="1"/>
      <c r="F762" s="130"/>
      <c r="AA762" s="131"/>
    </row>
    <row r="763" ht="14.25" customHeight="1">
      <c r="E763" s="1"/>
      <c r="F763" s="130"/>
      <c r="AA763" s="131"/>
    </row>
    <row r="764" ht="14.25" customHeight="1">
      <c r="E764" s="1"/>
      <c r="F764" s="130"/>
      <c r="AA764" s="131"/>
    </row>
    <row r="765" ht="14.25" customHeight="1">
      <c r="E765" s="1"/>
      <c r="F765" s="130"/>
      <c r="AA765" s="131"/>
    </row>
    <row r="766" ht="14.25" customHeight="1">
      <c r="E766" s="1"/>
      <c r="F766" s="130"/>
      <c r="AA766" s="131"/>
    </row>
    <row r="767" ht="14.25" customHeight="1">
      <c r="E767" s="1"/>
      <c r="F767" s="130"/>
      <c r="AA767" s="131"/>
    </row>
    <row r="768" ht="14.25" customHeight="1">
      <c r="E768" s="1"/>
      <c r="F768" s="130"/>
      <c r="AA768" s="131"/>
    </row>
    <row r="769" ht="14.25" customHeight="1">
      <c r="E769" s="1"/>
      <c r="F769" s="130"/>
      <c r="AA769" s="131"/>
    </row>
    <row r="770" ht="14.25" customHeight="1">
      <c r="E770" s="1"/>
      <c r="F770" s="130"/>
      <c r="AA770" s="131"/>
    </row>
    <row r="771" ht="14.25" customHeight="1">
      <c r="E771" s="1"/>
      <c r="F771" s="130"/>
      <c r="AA771" s="131"/>
    </row>
    <row r="772" ht="14.25" customHeight="1">
      <c r="E772" s="1"/>
      <c r="F772" s="130"/>
      <c r="AA772" s="131"/>
    </row>
    <row r="773" ht="14.25" customHeight="1">
      <c r="E773" s="1"/>
      <c r="F773" s="130"/>
      <c r="AA773" s="131"/>
    </row>
    <row r="774" ht="14.25" customHeight="1">
      <c r="E774" s="1"/>
      <c r="F774" s="130"/>
      <c r="AA774" s="131"/>
    </row>
    <row r="775" ht="14.25" customHeight="1">
      <c r="E775" s="1"/>
      <c r="F775" s="130"/>
      <c r="AA775" s="131"/>
    </row>
    <row r="776" ht="14.25" customHeight="1">
      <c r="E776" s="1"/>
      <c r="F776" s="130"/>
      <c r="AA776" s="131"/>
    </row>
    <row r="777" ht="14.25" customHeight="1">
      <c r="E777" s="1"/>
      <c r="F777" s="130"/>
      <c r="AA777" s="131"/>
    </row>
    <row r="778" ht="14.25" customHeight="1">
      <c r="E778" s="1"/>
      <c r="F778" s="130"/>
      <c r="AA778" s="131"/>
    </row>
    <row r="779" ht="14.25" customHeight="1">
      <c r="E779" s="1"/>
      <c r="F779" s="130"/>
      <c r="AA779" s="131"/>
    </row>
    <row r="780" ht="14.25" customHeight="1">
      <c r="E780" s="1"/>
      <c r="F780" s="130"/>
      <c r="AA780" s="131"/>
    </row>
    <row r="781" ht="14.25" customHeight="1">
      <c r="E781" s="1"/>
      <c r="F781" s="130"/>
      <c r="AA781" s="131"/>
    </row>
    <row r="782" ht="14.25" customHeight="1">
      <c r="E782" s="1"/>
      <c r="F782" s="130"/>
      <c r="AA782" s="131"/>
    </row>
    <row r="783" ht="14.25" customHeight="1">
      <c r="E783" s="1"/>
      <c r="F783" s="130"/>
      <c r="AA783" s="131"/>
    </row>
    <row r="784" ht="14.25" customHeight="1">
      <c r="E784" s="1"/>
      <c r="F784" s="130"/>
      <c r="AA784" s="131"/>
    </row>
    <row r="785" ht="14.25" customHeight="1">
      <c r="E785" s="1"/>
      <c r="F785" s="130"/>
      <c r="AA785" s="131"/>
    </row>
    <row r="786" ht="14.25" customHeight="1">
      <c r="E786" s="1"/>
      <c r="F786" s="130"/>
      <c r="AA786" s="131"/>
    </row>
    <row r="787" ht="14.25" customHeight="1">
      <c r="E787" s="1"/>
      <c r="F787" s="130"/>
      <c r="AA787" s="131"/>
    </row>
    <row r="788" ht="14.25" customHeight="1">
      <c r="E788" s="1"/>
      <c r="F788" s="130"/>
      <c r="AA788" s="131"/>
    </row>
    <row r="789" ht="14.25" customHeight="1">
      <c r="E789" s="1"/>
      <c r="F789" s="130"/>
      <c r="AA789" s="131"/>
    </row>
    <row r="790" ht="14.25" customHeight="1">
      <c r="E790" s="1"/>
      <c r="F790" s="130"/>
      <c r="AA790" s="131"/>
    </row>
    <row r="791" ht="14.25" customHeight="1">
      <c r="E791" s="1"/>
      <c r="F791" s="130"/>
      <c r="AA791" s="131"/>
    </row>
    <row r="792" ht="14.25" customHeight="1">
      <c r="E792" s="1"/>
      <c r="F792" s="130"/>
      <c r="AA792" s="131"/>
    </row>
    <row r="793" ht="14.25" customHeight="1">
      <c r="E793" s="1"/>
      <c r="F793" s="130"/>
      <c r="AA793" s="131"/>
    </row>
    <row r="794" ht="14.25" customHeight="1">
      <c r="E794" s="1"/>
      <c r="F794" s="130"/>
      <c r="AA794" s="131"/>
    </row>
    <row r="795" ht="14.25" customHeight="1">
      <c r="E795" s="1"/>
      <c r="F795" s="130"/>
      <c r="AA795" s="131"/>
    </row>
    <row r="796" ht="14.25" customHeight="1">
      <c r="E796" s="1"/>
      <c r="F796" s="130"/>
      <c r="AA796" s="131"/>
    </row>
    <row r="797" ht="14.25" customHeight="1">
      <c r="E797" s="1"/>
      <c r="F797" s="130"/>
      <c r="AA797" s="131"/>
    </row>
    <row r="798" ht="14.25" customHeight="1">
      <c r="E798" s="1"/>
      <c r="F798" s="130"/>
      <c r="AA798" s="131"/>
    </row>
    <row r="799" ht="14.25" customHeight="1">
      <c r="E799" s="1"/>
      <c r="F799" s="130"/>
      <c r="AA799" s="131"/>
    </row>
    <row r="800" ht="14.25" customHeight="1">
      <c r="E800" s="1"/>
      <c r="F800" s="130"/>
      <c r="AA800" s="131"/>
    </row>
    <row r="801" ht="14.25" customHeight="1">
      <c r="E801" s="1"/>
      <c r="F801" s="130"/>
      <c r="AA801" s="131"/>
    </row>
    <row r="802" ht="14.25" customHeight="1">
      <c r="E802" s="1"/>
      <c r="F802" s="130"/>
      <c r="AA802" s="131"/>
    </row>
    <row r="803" ht="14.25" customHeight="1">
      <c r="E803" s="1"/>
      <c r="F803" s="130"/>
      <c r="AA803" s="131"/>
    </row>
    <row r="804" ht="14.25" customHeight="1">
      <c r="E804" s="1"/>
      <c r="F804" s="130"/>
      <c r="AA804" s="131"/>
    </row>
    <row r="805" ht="14.25" customHeight="1">
      <c r="E805" s="1"/>
      <c r="F805" s="130"/>
      <c r="AA805" s="131"/>
    </row>
    <row r="806" ht="14.25" customHeight="1">
      <c r="E806" s="1"/>
      <c r="F806" s="130"/>
      <c r="AA806" s="131"/>
    </row>
    <row r="807" ht="14.25" customHeight="1">
      <c r="E807" s="1"/>
      <c r="F807" s="130"/>
      <c r="AA807" s="131"/>
    </row>
    <row r="808" ht="14.25" customHeight="1">
      <c r="E808" s="1"/>
      <c r="F808" s="130"/>
      <c r="AA808" s="131"/>
    </row>
    <row r="809" ht="14.25" customHeight="1">
      <c r="E809" s="1"/>
      <c r="F809" s="130"/>
      <c r="AA809" s="131"/>
    </row>
    <row r="810" ht="14.25" customHeight="1">
      <c r="E810" s="1"/>
      <c r="F810" s="130"/>
      <c r="AA810" s="131"/>
    </row>
    <row r="811" ht="14.25" customHeight="1">
      <c r="E811" s="1"/>
      <c r="F811" s="130"/>
      <c r="AA811" s="131"/>
    </row>
    <row r="812" ht="14.25" customHeight="1">
      <c r="E812" s="1"/>
      <c r="F812" s="130"/>
      <c r="AA812" s="131"/>
    </row>
    <row r="813" ht="14.25" customHeight="1">
      <c r="E813" s="1"/>
      <c r="F813" s="130"/>
      <c r="AA813" s="131"/>
    </row>
    <row r="814" ht="14.25" customHeight="1">
      <c r="E814" s="1"/>
      <c r="F814" s="130"/>
      <c r="AA814" s="131"/>
    </row>
    <row r="815" ht="14.25" customHeight="1">
      <c r="E815" s="1"/>
      <c r="F815" s="130"/>
      <c r="AA815" s="131"/>
    </row>
    <row r="816" ht="14.25" customHeight="1">
      <c r="E816" s="1"/>
      <c r="F816" s="130"/>
      <c r="AA816" s="131"/>
    </row>
    <row r="817" ht="14.25" customHeight="1">
      <c r="E817" s="1"/>
      <c r="F817" s="130"/>
      <c r="AA817" s="131"/>
    </row>
    <row r="818" ht="14.25" customHeight="1">
      <c r="E818" s="1"/>
      <c r="F818" s="130"/>
      <c r="AA818" s="131"/>
    </row>
    <row r="819" ht="14.25" customHeight="1">
      <c r="E819" s="1"/>
      <c r="F819" s="130"/>
      <c r="AA819" s="131"/>
    </row>
    <row r="820" ht="14.25" customHeight="1">
      <c r="E820" s="1"/>
      <c r="F820" s="130"/>
      <c r="AA820" s="131"/>
    </row>
    <row r="821" ht="14.25" customHeight="1">
      <c r="E821" s="1"/>
      <c r="F821" s="130"/>
      <c r="AA821" s="131"/>
    </row>
    <row r="822" ht="14.25" customHeight="1">
      <c r="E822" s="1"/>
      <c r="F822" s="130"/>
      <c r="AA822" s="131"/>
    </row>
    <row r="823" ht="14.25" customHeight="1">
      <c r="E823" s="1"/>
      <c r="F823" s="130"/>
      <c r="AA823" s="131"/>
    </row>
    <row r="824" ht="14.25" customHeight="1">
      <c r="E824" s="1"/>
      <c r="F824" s="130"/>
      <c r="AA824" s="131"/>
    </row>
    <row r="825" ht="14.25" customHeight="1">
      <c r="E825" s="1"/>
      <c r="F825" s="130"/>
      <c r="AA825" s="131"/>
    </row>
    <row r="826" ht="14.25" customHeight="1">
      <c r="E826" s="1"/>
      <c r="F826" s="130"/>
      <c r="AA826" s="131"/>
    </row>
    <row r="827" ht="14.25" customHeight="1">
      <c r="E827" s="1"/>
      <c r="F827" s="130"/>
      <c r="AA827" s="131"/>
    </row>
    <row r="828" ht="14.25" customHeight="1">
      <c r="E828" s="1"/>
      <c r="F828" s="130"/>
      <c r="AA828" s="131"/>
    </row>
    <row r="829" ht="14.25" customHeight="1">
      <c r="E829" s="1"/>
      <c r="F829" s="130"/>
      <c r="AA829" s="131"/>
    </row>
    <row r="830" ht="14.25" customHeight="1">
      <c r="E830" s="1"/>
      <c r="F830" s="130"/>
      <c r="AA830" s="131"/>
    </row>
    <row r="831" ht="14.25" customHeight="1">
      <c r="E831" s="1"/>
      <c r="F831" s="130"/>
      <c r="AA831" s="131"/>
    </row>
    <row r="832" ht="14.25" customHeight="1">
      <c r="E832" s="1"/>
      <c r="F832" s="130"/>
      <c r="AA832" s="131"/>
    </row>
    <row r="833" ht="14.25" customHeight="1">
      <c r="E833" s="1"/>
      <c r="F833" s="130"/>
      <c r="AA833" s="131"/>
    </row>
    <row r="834" ht="14.25" customHeight="1">
      <c r="E834" s="1"/>
      <c r="F834" s="130"/>
      <c r="AA834" s="131"/>
    </row>
    <row r="835" ht="14.25" customHeight="1">
      <c r="E835" s="1"/>
      <c r="F835" s="130"/>
      <c r="AA835" s="131"/>
    </row>
    <row r="836" ht="14.25" customHeight="1">
      <c r="E836" s="1"/>
      <c r="F836" s="130"/>
      <c r="AA836" s="131"/>
    </row>
    <row r="837" ht="14.25" customHeight="1">
      <c r="E837" s="1"/>
      <c r="F837" s="130"/>
      <c r="AA837" s="131"/>
    </row>
    <row r="838" ht="14.25" customHeight="1">
      <c r="E838" s="1"/>
      <c r="F838" s="130"/>
      <c r="AA838" s="131"/>
    </row>
    <row r="839" ht="14.25" customHeight="1">
      <c r="E839" s="1"/>
      <c r="F839" s="130"/>
      <c r="AA839" s="131"/>
    </row>
    <row r="840" ht="14.25" customHeight="1">
      <c r="E840" s="1"/>
      <c r="F840" s="130"/>
      <c r="AA840" s="131"/>
    </row>
    <row r="841" ht="14.25" customHeight="1">
      <c r="E841" s="1"/>
      <c r="F841" s="130"/>
      <c r="AA841" s="131"/>
    </row>
    <row r="842" ht="14.25" customHeight="1">
      <c r="E842" s="1"/>
      <c r="F842" s="130"/>
      <c r="AA842" s="131"/>
    </row>
    <row r="843" ht="14.25" customHeight="1">
      <c r="E843" s="1"/>
      <c r="F843" s="130"/>
      <c r="AA843" s="131"/>
    </row>
    <row r="844" ht="14.25" customHeight="1">
      <c r="E844" s="1"/>
      <c r="F844" s="130"/>
      <c r="AA844" s="131"/>
    </row>
    <row r="845" ht="14.25" customHeight="1">
      <c r="E845" s="1"/>
      <c r="F845" s="130"/>
      <c r="AA845" s="131"/>
    </row>
    <row r="846" ht="14.25" customHeight="1">
      <c r="E846" s="1"/>
      <c r="F846" s="130"/>
      <c r="AA846" s="131"/>
    </row>
    <row r="847" ht="14.25" customHeight="1">
      <c r="E847" s="1"/>
      <c r="F847" s="130"/>
      <c r="AA847" s="131"/>
    </row>
    <row r="848" ht="14.25" customHeight="1">
      <c r="E848" s="1"/>
      <c r="F848" s="130"/>
      <c r="AA848" s="131"/>
    </row>
    <row r="849" ht="14.25" customHeight="1">
      <c r="E849" s="1"/>
      <c r="F849" s="130"/>
      <c r="AA849" s="131"/>
    </row>
    <row r="850" ht="14.25" customHeight="1">
      <c r="E850" s="1"/>
      <c r="F850" s="130"/>
      <c r="AA850" s="131"/>
    </row>
    <row r="851" ht="14.25" customHeight="1">
      <c r="E851" s="1"/>
      <c r="F851" s="130"/>
      <c r="AA851" s="131"/>
    </row>
    <row r="852" ht="14.25" customHeight="1">
      <c r="E852" s="1"/>
      <c r="F852" s="130"/>
      <c r="AA852" s="131"/>
    </row>
    <row r="853" ht="14.25" customHeight="1">
      <c r="E853" s="1"/>
      <c r="F853" s="130"/>
      <c r="AA853" s="131"/>
    </row>
    <row r="854" ht="14.25" customHeight="1">
      <c r="E854" s="1"/>
      <c r="F854" s="130"/>
      <c r="AA854" s="131"/>
    </row>
    <row r="855" ht="14.25" customHeight="1">
      <c r="E855" s="1"/>
      <c r="F855" s="130"/>
      <c r="AA855" s="131"/>
    </row>
    <row r="856" ht="14.25" customHeight="1">
      <c r="E856" s="1"/>
      <c r="F856" s="130"/>
      <c r="AA856" s="131"/>
    </row>
    <row r="857" ht="14.25" customHeight="1">
      <c r="E857" s="1"/>
      <c r="F857" s="130"/>
      <c r="AA857" s="131"/>
    </row>
    <row r="858" ht="14.25" customHeight="1">
      <c r="E858" s="1"/>
      <c r="F858" s="130"/>
      <c r="AA858" s="131"/>
    </row>
    <row r="859" ht="14.25" customHeight="1">
      <c r="E859" s="1"/>
      <c r="F859" s="130"/>
      <c r="AA859" s="131"/>
    </row>
    <row r="860" ht="14.25" customHeight="1">
      <c r="E860" s="1"/>
      <c r="F860" s="130"/>
      <c r="AA860" s="131"/>
    </row>
    <row r="861" ht="14.25" customHeight="1">
      <c r="E861" s="1"/>
      <c r="F861" s="130"/>
      <c r="AA861" s="131"/>
    </row>
    <row r="862" ht="14.25" customHeight="1">
      <c r="E862" s="1"/>
      <c r="F862" s="130"/>
      <c r="AA862" s="131"/>
    </row>
    <row r="863" ht="14.25" customHeight="1">
      <c r="E863" s="1"/>
      <c r="F863" s="130"/>
      <c r="AA863" s="131"/>
    </row>
    <row r="864" ht="14.25" customHeight="1">
      <c r="E864" s="1"/>
      <c r="F864" s="130"/>
      <c r="AA864" s="131"/>
    </row>
    <row r="865" ht="14.25" customHeight="1">
      <c r="E865" s="1"/>
      <c r="F865" s="130"/>
      <c r="AA865" s="131"/>
    </row>
    <row r="866" ht="14.25" customHeight="1">
      <c r="E866" s="1"/>
      <c r="F866" s="130"/>
      <c r="AA866" s="131"/>
    </row>
    <row r="867" ht="14.25" customHeight="1">
      <c r="E867" s="1"/>
      <c r="F867" s="130"/>
      <c r="AA867" s="131"/>
    </row>
    <row r="868" ht="14.25" customHeight="1">
      <c r="E868" s="1"/>
      <c r="F868" s="130"/>
      <c r="AA868" s="131"/>
    </row>
    <row r="869" ht="14.25" customHeight="1">
      <c r="E869" s="1"/>
      <c r="F869" s="130"/>
      <c r="AA869" s="131"/>
    </row>
    <row r="870" ht="14.25" customHeight="1">
      <c r="E870" s="1"/>
      <c r="F870" s="130"/>
      <c r="AA870" s="131"/>
    </row>
    <row r="871" ht="14.25" customHeight="1">
      <c r="E871" s="1"/>
      <c r="F871" s="130"/>
      <c r="AA871" s="131"/>
    </row>
    <row r="872" ht="14.25" customHeight="1">
      <c r="E872" s="1"/>
      <c r="F872" s="130"/>
      <c r="AA872" s="131"/>
    </row>
    <row r="873" ht="14.25" customHeight="1">
      <c r="E873" s="1"/>
      <c r="F873" s="130"/>
      <c r="AA873" s="131"/>
    </row>
    <row r="874" ht="14.25" customHeight="1">
      <c r="E874" s="1"/>
      <c r="F874" s="130"/>
      <c r="AA874" s="131"/>
    </row>
    <row r="875" ht="14.25" customHeight="1">
      <c r="E875" s="1"/>
      <c r="F875" s="130"/>
      <c r="AA875" s="131"/>
    </row>
    <row r="876" ht="14.25" customHeight="1">
      <c r="E876" s="1"/>
      <c r="F876" s="130"/>
      <c r="AA876" s="131"/>
    </row>
    <row r="877" ht="14.25" customHeight="1">
      <c r="E877" s="1"/>
      <c r="F877" s="130"/>
      <c r="AA877" s="131"/>
    </row>
    <row r="878" ht="14.25" customHeight="1">
      <c r="E878" s="1"/>
      <c r="F878" s="130"/>
      <c r="AA878" s="131"/>
    </row>
    <row r="879" ht="14.25" customHeight="1">
      <c r="E879" s="1"/>
      <c r="F879" s="130"/>
      <c r="AA879" s="131"/>
    </row>
    <row r="880" ht="14.25" customHeight="1">
      <c r="E880" s="1"/>
      <c r="F880" s="130"/>
      <c r="AA880" s="131"/>
    </row>
    <row r="881" ht="14.25" customHeight="1">
      <c r="E881" s="1"/>
      <c r="F881" s="130"/>
      <c r="AA881" s="131"/>
    </row>
    <row r="882" ht="14.25" customHeight="1">
      <c r="E882" s="1"/>
      <c r="F882" s="130"/>
      <c r="AA882" s="131"/>
    </row>
    <row r="883" ht="14.25" customHeight="1">
      <c r="E883" s="1"/>
      <c r="F883" s="130"/>
      <c r="AA883" s="131"/>
    </row>
    <row r="884" ht="14.25" customHeight="1">
      <c r="E884" s="1"/>
      <c r="F884" s="130"/>
      <c r="AA884" s="131"/>
    </row>
    <row r="885" ht="14.25" customHeight="1">
      <c r="E885" s="1"/>
      <c r="F885" s="130"/>
      <c r="AA885" s="131"/>
    </row>
    <row r="886" ht="14.25" customHeight="1">
      <c r="E886" s="1"/>
      <c r="F886" s="130"/>
      <c r="AA886" s="131"/>
    </row>
    <row r="887" ht="14.25" customHeight="1">
      <c r="E887" s="1"/>
      <c r="F887" s="130"/>
      <c r="AA887" s="131"/>
    </row>
    <row r="888" ht="14.25" customHeight="1">
      <c r="E888" s="1"/>
      <c r="F888" s="130"/>
      <c r="AA888" s="131"/>
    </row>
    <row r="889" ht="14.25" customHeight="1">
      <c r="E889" s="1"/>
      <c r="F889" s="130"/>
      <c r="AA889" s="131"/>
    </row>
    <row r="890" ht="14.25" customHeight="1">
      <c r="E890" s="1"/>
      <c r="F890" s="130"/>
      <c r="AA890" s="131"/>
    </row>
    <row r="891" ht="14.25" customHeight="1">
      <c r="E891" s="1"/>
      <c r="F891" s="130"/>
      <c r="AA891" s="131"/>
    </row>
    <row r="892" ht="14.25" customHeight="1">
      <c r="E892" s="1"/>
      <c r="F892" s="130"/>
      <c r="AA892" s="131"/>
    </row>
    <row r="893" ht="14.25" customHeight="1">
      <c r="E893" s="1"/>
      <c r="F893" s="130"/>
      <c r="AA893" s="131"/>
    </row>
    <row r="894" ht="14.25" customHeight="1">
      <c r="E894" s="1"/>
      <c r="F894" s="130"/>
      <c r="AA894" s="131"/>
    </row>
    <row r="895" ht="14.25" customHeight="1">
      <c r="E895" s="1"/>
      <c r="F895" s="130"/>
      <c r="AA895" s="131"/>
    </row>
    <row r="896" ht="14.25" customHeight="1">
      <c r="E896" s="1"/>
      <c r="F896" s="130"/>
      <c r="AA896" s="131"/>
    </row>
    <row r="897" ht="14.25" customHeight="1">
      <c r="E897" s="1"/>
      <c r="F897" s="130"/>
      <c r="AA897" s="131"/>
    </row>
    <row r="898" ht="14.25" customHeight="1">
      <c r="E898" s="1"/>
      <c r="F898" s="130"/>
      <c r="AA898" s="131"/>
    </row>
    <row r="899" ht="14.25" customHeight="1">
      <c r="E899" s="1"/>
      <c r="F899" s="130"/>
      <c r="AA899" s="131"/>
    </row>
    <row r="900" ht="14.25" customHeight="1">
      <c r="E900" s="1"/>
      <c r="F900" s="130"/>
      <c r="AA900" s="131"/>
    </row>
    <row r="901" ht="14.25" customHeight="1">
      <c r="E901" s="1"/>
      <c r="F901" s="130"/>
      <c r="AA901" s="131"/>
    </row>
    <row r="902" ht="14.25" customHeight="1">
      <c r="E902" s="1"/>
      <c r="F902" s="130"/>
      <c r="AA902" s="131"/>
    </row>
    <row r="903" ht="14.25" customHeight="1">
      <c r="E903" s="1"/>
      <c r="F903" s="130"/>
      <c r="AA903" s="131"/>
    </row>
    <row r="904" ht="14.25" customHeight="1">
      <c r="E904" s="1"/>
      <c r="F904" s="130"/>
      <c r="AA904" s="131"/>
    </row>
    <row r="905" ht="14.25" customHeight="1">
      <c r="E905" s="1"/>
      <c r="F905" s="130"/>
      <c r="AA905" s="131"/>
    </row>
    <row r="906" ht="14.25" customHeight="1">
      <c r="E906" s="1"/>
      <c r="F906" s="130"/>
      <c r="AA906" s="131"/>
    </row>
    <row r="907" ht="14.25" customHeight="1">
      <c r="E907" s="1"/>
      <c r="F907" s="130"/>
      <c r="AA907" s="131"/>
    </row>
    <row r="908" ht="14.25" customHeight="1">
      <c r="E908" s="1"/>
      <c r="F908" s="130"/>
      <c r="AA908" s="131"/>
    </row>
    <row r="909" ht="14.25" customHeight="1">
      <c r="E909" s="1"/>
      <c r="F909" s="130"/>
      <c r="AA909" s="131"/>
    </row>
    <row r="910" ht="14.25" customHeight="1">
      <c r="E910" s="1"/>
      <c r="F910" s="130"/>
      <c r="AA910" s="131"/>
    </row>
    <row r="911" ht="14.25" customHeight="1">
      <c r="E911" s="1"/>
      <c r="F911" s="130"/>
      <c r="AA911" s="131"/>
    </row>
    <row r="912" ht="14.25" customHeight="1">
      <c r="E912" s="1"/>
      <c r="F912" s="130"/>
      <c r="AA912" s="131"/>
    </row>
    <row r="913" ht="14.25" customHeight="1">
      <c r="E913" s="1"/>
      <c r="F913" s="130"/>
      <c r="AA913" s="131"/>
    </row>
    <row r="914" ht="14.25" customHeight="1">
      <c r="E914" s="1"/>
      <c r="F914" s="130"/>
      <c r="AA914" s="131"/>
    </row>
    <row r="915" ht="14.25" customHeight="1">
      <c r="E915" s="1"/>
      <c r="F915" s="130"/>
      <c r="AA915" s="131"/>
    </row>
    <row r="916" ht="14.25" customHeight="1">
      <c r="E916" s="1"/>
      <c r="F916" s="130"/>
      <c r="AA916" s="131"/>
    </row>
    <row r="917" ht="14.25" customHeight="1">
      <c r="E917" s="1"/>
      <c r="F917" s="130"/>
      <c r="AA917" s="131"/>
    </row>
    <row r="918" ht="14.25" customHeight="1">
      <c r="E918" s="1"/>
      <c r="F918" s="130"/>
      <c r="AA918" s="131"/>
    </row>
    <row r="919" ht="14.25" customHeight="1">
      <c r="E919" s="1"/>
      <c r="F919" s="130"/>
      <c r="AA919" s="131"/>
    </row>
    <row r="920" ht="14.25" customHeight="1">
      <c r="E920" s="1"/>
      <c r="F920" s="130"/>
      <c r="AA920" s="131"/>
    </row>
    <row r="921" ht="14.25" customHeight="1">
      <c r="E921" s="1"/>
      <c r="F921" s="130"/>
      <c r="AA921" s="131"/>
    </row>
    <row r="922" ht="14.25" customHeight="1">
      <c r="E922" s="1"/>
      <c r="F922" s="130"/>
      <c r="AA922" s="131"/>
    </row>
    <row r="923" ht="14.25" customHeight="1">
      <c r="E923" s="1"/>
      <c r="F923" s="130"/>
      <c r="AA923" s="131"/>
    </row>
    <row r="924" ht="14.25" customHeight="1">
      <c r="E924" s="1"/>
      <c r="F924" s="130"/>
      <c r="AA924" s="131"/>
    </row>
    <row r="925" ht="14.25" customHeight="1">
      <c r="E925" s="1"/>
      <c r="F925" s="130"/>
      <c r="AA925" s="131"/>
    </row>
    <row r="926" ht="14.25" customHeight="1">
      <c r="E926" s="1"/>
      <c r="F926" s="130"/>
      <c r="AA926" s="131"/>
    </row>
    <row r="927" ht="14.25" customHeight="1">
      <c r="E927" s="1"/>
      <c r="F927" s="130"/>
      <c r="AA927" s="131"/>
    </row>
    <row r="928" ht="14.25" customHeight="1">
      <c r="E928" s="1"/>
      <c r="F928" s="130"/>
      <c r="AA928" s="131"/>
    </row>
    <row r="929" ht="14.25" customHeight="1">
      <c r="E929" s="1"/>
      <c r="F929" s="130"/>
      <c r="AA929" s="131"/>
    </row>
    <row r="930" ht="14.25" customHeight="1">
      <c r="E930" s="1"/>
      <c r="F930" s="130"/>
      <c r="AA930" s="131"/>
    </row>
    <row r="931" ht="14.25" customHeight="1">
      <c r="E931" s="1"/>
      <c r="F931" s="130"/>
      <c r="AA931" s="131"/>
    </row>
    <row r="932" ht="14.25" customHeight="1">
      <c r="E932" s="1"/>
      <c r="F932" s="130"/>
      <c r="AA932" s="131"/>
    </row>
    <row r="933" ht="14.25" customHeight="1">
      <c r="E933" s="1"/>
      <c r="F933" s="130"/>
      <c r="AA933" s="131"/>
    </row>
    <row r="934" ht="14.25" customHeight="1">
      <c r="E934" s="1"/>
      <c r="F934" s="130"/>
      <c r="AA934" s="131"/>
    </row>
    <row r="935" ht="14.25" customHeight="1">
      <c r="E935" s="1"/>
      <c r="F935" s="130"/>
      <c r="AA935" s="131"/>
    </row>
    <row r="936" ht="14.25" customHeight="1">
      <c r="E936" s="1"/>
      <c r="F936" s="130"/>
      <c r="AA936" s="131"/>
    </row>
    <row r="937" ht="14.25" customHeight="1">
      <c r="E937" s="1"/>
      <c r="F937" s="130"/>
      <c r="AA937" s="131"/>
    </row>
    <row r="938" ht="14.25" customHeight="1">
      <c r="E938" s="1"/>
      <c r="F938" s="130"/>
      <c r="AA938" s="131"/>
    </row>
    <row r="939" ht="14.25" customHeight="1">
      <c r="E939" s="1"/>
      <c r="F939" s="130"/>
      <c r="AA939" s="131"/>
    </row>
    <row r="940" ht="14.25" customHeight="1">
      <c r="E940" s="1"/>
      <c r="F940" s="130"/>
      <c r="AA940" s="131"/>
    </row>
    <row r="941" ht="14.25" customHeight="1">
      <c r="E941" s="1"/>
      <c r="F941" s="130"/>
      <c r="AA941" s="131"/>
    </row>
    <row r="942" ht="14.25" customHeight="1">
      <c r="E942" s="1"/>
      <c r="F942" s="130"/>
      <c r="AA942" s="131"/>
    </row>
    <row r="943" ht="14.25" customHeight="1">
      <c r="E943" s="1"/>
      <c r="F943" s="130"/>
      <c r="AA943" s="131"/>
    </row>
    <row r="944" ht="14.25" customHeight="1">
      <c r="E944" s="1"/>
      <c r="F944" s="130"/>
      <c r="AA944" s="131"/>
    </row>
    <row r="945" ht="14.25" customHeight="1">
      <c r="E945" s="1"/>
      <c r="F945" s="130"/>
      <c r="AA945" s="131"/>
    </row>
    <row r="946" ht="14.25" customHeight="1">
      <c r="E946" s="1"/>
      <c r="F946" s="130"/>
      <c r="AA946" s="131"/>
    </row>
    <row r="947" ht="14.25" customHeight="1">
      <c r="E947" s="1"/>
      <c r="F947" s="130"/>
      <c r="AA947" s="131"/>
    </row>
    <row r="948" ht="14.25" customHeight="1">
      <c r="E948" s="1"/>
      <c r="F948" s="130"/>
      <c r="AA948" s="131"/>
    </row>
    <row r="949" ht="14.25" customHeight="1">
      <c r="E949" s="1"/>
      <c r="F949" s="130"/>
      <c r="AA949" s="131"/>
    </row>
    <row r="950" ht="14.25" customHeight="1">
      <c r="E950" s="1"/>
      <c r="F950" s="130"/>
      <c r="AA950" s="131"/>
    </row>
    <row r="951" ht="14.25" customHeight="1">
      <c r="E951" s="1"/>
      <c r="F951" s="130"/>
      <c r="AA951" s="131"/>
    </row>
    <row r="952" ht="14.25" customHeight="1">
      <c r="E952" s="1"/>
      <c r="F952" s="130"/>
      <c r="AA952" s="131"/>
    </row>
    <row r="953" ht="14.25" customHeight="1">
      <c r="E953" s="1"/>
      <c r="F953" s="130"/>
      <c r="AA953" s="131"/>
    </row>
    <row r="954" ht="14.25" customHeight="1">
      <c r="E954" s="1"/>
      <c r="F954" s="130"/>
      <c r="AA954" s="131"/>
    </row>
    <row r="955" ht="14.25" customHeight="1">
      <c r="E955" s="1"/>
      <c r="F955" s="130"/>
      <c r="AA955" s="131"/>
    </row>
    <row r="956" ht="14.25" customHeight="1">
      <c r="E956" s="1"/>
      <c r="F956" s="130"/>
      <c r="AA956" s="131"/>
    </row>
    <row r="957" ht="14.25" customHeight="1">
      <c r="E957" s="1"/>
      <c r="F957" s="130"/>
      <c r="AA957" s="131"/>
    </row>
    <row r="958" ht="14.25" customHeight="1">
      <c r="E958" s="1"/>
      <c r="F958" s="130"/>
      <c r="AA958" s="131"/>
    </row>
    <row r="959" ht="14.25" customHeight="1">
      <c r="E959" s="1"/>
      <c r="F959" s="130"/>
      <c r="AA959" s="131"/>
    </row>
    <row r="960" ht="14.25" customHeight="1">
      <c r="E960" s="1"/>
      <c r="F960" s="130"/>
      <c r="AA960" s="131"/>
    </row>
    <row r="961" ht="14.25" customHeight="1">
      <c r="E961" s="1"/>
      <c r="F961" s="130"/>
      <c r="AA961" s="131"/>
    </row>
    <row r="962" ht="14.25" customHeight="1">
      <c r="E962" s="1"/>
      <c r="F962" s="130"/>
      <c r="AA962" s="131"/>
    </row>
    <row r="963" ht="14.25" customHeight="1">
      <c r="E963" s="1"/>
      <c r="F963" s="130"/>
      <c r="AA963" s="131"/>
    </row>
    <row r="964" ht="14.25" customHeight="1">
      <c r="E964" s="1"/>
      <c r="F964" s="130"/>
      <c r="AA964" s="131"/>
    </row>
    <row r="965" ht="14.25" customHeight="1">
      <c r="E965" s="1"/>
      <c r="F965" s="130"/>
      <c r="AA965" s="131"/>
    </row>
    <row r="966" ht="14.25" customHeight="1">
      <c r="E966" s="1"/>
      <c r="F966" s="130"/>
      <c r="AA966" s="131"/>
    </row>
    <row r="967" ht="14.25" customHeight="1">
      <c r="E967" s="1"/>
      <c r="F967" s="130"/>
      <c r="AA967" s="131"/>
    </row>
    <row r="968" ht="14.25" customHeight="1">
      <c r="E968" s="1"/>
      <c r="F968" s="130"/>
      <c r="AA968" s="131"/>
    </row>
    <row r="969" ht="14.25" customHeight="1">
      <c r="E969" s="1"/>
      <c r="F969" s="130"/>
      <c r="AA969" s="131"/>
    </row>
    <row r="970" ht="14.25" customHeight="1">
      <c r="E970" s="1"/>
      <c r="F970" s="130"/>
      <c r="AA970" s="131"/>
    </row>
    <row r="971" ht="14.25" customHeight="1">
      <c r="E971" s="1"/>
      <c r="F971" s="130"/>
      <c r="AA971" s="131"/>
    </row>
    <row r="972" ht="14.25" customHeight="1">
      <c r="E972" s="1"/>
      <c r="F972" s="130"/>
      <c r="AA972" s="131"/>
    </row>
    <row r="973" ht="14.25" customHeight="1">
      <c r="E973" s="1"/>
      <c r="F973" s="130"/>
      <c r="AA973" s="131"/>
    </row>
    <row r="974" ht="14.25" customHeight="1">
      <c r="E974" s="1"/>
      <c r="F974" s="130"/>
      <c r="AA974" s="131"/>
    </row>
    <row r="975" ht="14.25" customHeight="1">
      <c r="E975" s="1"/>
      <c r="F975" s="130"/>
      <c r="AA975" s="131"/>
    </row>
    <row r="976" ht="14.25" customHeight="1">
      <c r="E976" s="1"/>
      <c r="F976" s="130"/>
      <c r="AA976" s="131"/>
    </row>
    <row r="977" ht="14.25" customHeight="1">
      <c r="E977" s="1"/>
      <c r="F977" s="130"/>
      <c r="AA977" s="131"/>
    </row>
    <row r="978" ht="14.25" customHeight="1">
      <c r="E978" s="1"/>
      <c r="F978" s="130"/>
      <c r="AA978" s="131"/>
    </row>
    <row r="979" ht="14.25" customHeight="1">
      <c r="E979" s="1"/>
      <c r="F979" s="130"/>
      <c r="AA979" s="131"/>
    </row>
    <row r="980" ht="14.25" customHeight="1">
      <c r="E980" s="1"/>
      <c r="F980" s="130"/>
      <c r="AA980" s="131"/>
    </row>
    <row r="981" ht="14.25" customHeight="1">
      <c r="E981" s="1"/>
      <c r="F981" s="130"/>
      <c r="AA981" s="131"/>
    </row>
    <row r="982" ht="14.25" customHeight="1">
      <c r="E982" s="1"/>
      <c r="F982" s="130"/>
      <c r="AA982" s="131"/>
    </row>
    <row r="983" ht="14.25" customHeight="1">
      <c r="E983" s="1"/>
      <c r="F983" s="130"/>
      <c r="AA983" s="131"/>
    </row>
    <row r="984" ht="14.25" customHeight="1">
      <c r="E984" s="1"/>
      <c r="F984" s="130"/>
      <c r="AA984" s="131"/>
    </row>
    <row r="985" ht="14.25" customHeight="1">
      <c r="E985" s="1"/>
      <c r="F985" s="130"/>
      <c r="AA985" s="131"/>
    </row>
    <row r="986" ht="14.25" customHeight="1">
      <c r="E986" s="1"/>
      <c r="F986" s="130"/>
      <c r="AA986" s="131"/>
    </row>
    <row r="987" ht="14.25" customHeight="1">
      <c r="E987" s="1"/>
      <c r="F987" s="130"/>
      <c r="AA987" s="131"/>
    </row>
    <row r="988" ht="14.25" customHeight="1">
      <c r="E988" s="1"/>
      <c r="F988" s="130"/>
      <c r="AA988" s="131"/>
    </row>
    <row r="989" ht="14.25" customHeight="1">
      <c r="E989" s="1"/>
      <c r="F989" s="130"/>
      <c r="AA989" s="131"/>
    </row>
    <row r="990" ht="14.25" customHeight="1">
      <c r="E990" s="1"/>
      <c r="F990" s="130"/>
      <c r="AA990" s="131"/>
    </row>
    <row r="991" ht="14.25" customHeight="1">
      <c r="E991" s="1"/>
      <c r="F991" s="130"/>
      <c r="AA991" s="131"/>
    </row>
    <row r="992" ht="14.25" customHeight="1">
      <c r="E992" s="1"/>
      <c r="F992" s="130"/>
      <c r="AA992" s="131"/>
    </row>
    <row r="993" ht="14.25" customHeight="1">
      <c r="E993" s="1"/>
      <c r="F993" s="130"/>
      <c r="AA993" s="131"/>
    </row>
    <row r="994" ht="14.25" customHeight="1">
      <c r="E994" s="1"/>
      <c r="F994" s="130"/>
      <c r="AA994" s="131"/>
    </row>
    <row r="995" ht="14.25" customHeight="1">
      <c r="E995" s="1"/>
      <c r="F995" s="130"/>
      <c r="AA995" s="131"/>
    </row>
    <row r="996" ht="14.25" customHeight="1">
      <c r="E996" s="1"/>
      <c r="F996" s="130"/>
      <c r="AA996" s="131"/>
    </row>
    <row r="997" ht="14.25" customHeight="1">
      <c r="E997" s="1"/>
      <c r="F997" s="130"/>
      <c r="AA997" s="131"/>
    </row>
    <row r="998" ht="14.25" customHeight="1">
      <c r="E998" s="1"/>
      <c r="F998" s="130"/>
      <c r="AA998" s="131"/>
    </row>
    <row r="999" ht="14.25" customHeight="1">
      <c r="E999" s="1"/>
      <c r="F999" s="130"/>
      <c r="AA999" s="131"/>
    </row>
    <row r="1000" ht="14.25" customHeight="1">
      <c r="E1000" s="1"/>
      <c r="F1000" s="130"/>
      <c r="AA1000" s="131"/>
    </row>
    <row r="1001" ht="14.25" customHeight="1">
      <c r="E1001" s="1"/>
      <c r="F1001" s="130"/>
      <c r="AA1001" s="131"/>
    </row>
    <row r="1002" ht="14.25" customHeight="1">
      <c r="E1002" s="1"/>
      <c r="F1002" s="130"/>
      <c r="AA1002" s="131"/>
    </row>
    <row r="1003" ht="14.25" customHeight="1">
      <c r="E1003" s="1"/>
      <c r="F1003" s="130"/>
      <c r="AA1003" s="131"/>
    </row>
    <row r="1004" ht="14.25" customHeight="1">
      <c r="E1004" s="1"/>
      <c r="F1004" s="130"/>
      <c r="AA1004" s="131"/>
    </row>
    <row r="1005" ht="14.25" customHeight="1">
      <c r="E1005" s="1"/>
      <c r="F1005" s="130"/>
      <c r="AA1005" s="131"/>
    </row>
    <row r="1006" ht="14.25" customHeight="1">
      <c r="E1006" s="1"/>
      <c r="F1006" s="130"/>
      <c r="AA1006" s="131"/>
    </row>
    <row r="1007" ht="14.25" customHeight="1">
      <c r="E1007" s="1"/>
      <c r="F1007" s="130"/>
      <c r="AA1007" s="131"/>
    </row>
    <row r="1008" ht="14.25" customHeight="1">
      <c r="E1008" s="1"/>
      <c r="F1008" s="130"/>
      <c r="AA1008" s="131"/>
    </row>
    <row r="1009" ht="14.25" customHeight="1">
      <c r="E1009" s="1"/>
      <c r="F1009" s="130"/>
      <c r="AA1009" s="131"/>
    </row>
    <row r="1010" ht="14.25" customHeight="1">
      <c r="E1010" s="1"/>
      <c r="F1010" s="130"/>
      <c r="AA1010" s="131"/>
    </row>
    <row r="1011" ht="14.25" customHeight="1">
      <c r="E1011" s="1"/>
      <c r="F1011" s="130"/>
      <c r="AA1011" s="131"/>
    </row>
    <row r="1012" ht="14.25" customHeight="1">
      <c r="E1012" s="1"/>
      <c r="F1012" s="130"/>
      <c r="AA1012" s="131"/>
    </row>
    <row r="1013" ht="14.25" customHeight="1">
      <c r="E1013" s="1"/>
      <c r="F1013" s="130"/>
      <c r="AA1013" s="131"/>
    </row>
    <row r="1014" ht="14.25" customHeight="1">
      <c r="E1014" s="1"/>
      <c r="F1014" s="130"/>
      <c r="AA1014" s="131"/>
    </row>
    <row r="1015" ht="14.25" customHeight="1">
      <c r="E1015" s="1"/>
      <c r="F1015" s="130"/>
      <c r="AA1015" s="131"/>
    </row>
    <row r="1016" ht="14.25" customHeight="1">
      <c r="E1016" s="1"/>
      <c r="F1016" s="130"/>
      <c r="AA1016" s="131"/>
    </row>
    <row r="1017" ht="14.25" customHeight="1">
      <c r="E1017" s="1"/>
      <c r="F1017" s="130"/>
      <c r="AA1017" s="131"/>
    </row>
    <row r="1018" ht="14.25" customHeight="1">
      <c r="E1018" s="1"/>
      <c r="F1018" s="130"/>
      <c r="AA1018" s="131"/>
    </row>
    <row r="1019" ht="14.25" customHeight="1">
      <c r="E1019" s="1"/>
      <c r="F1019" s="130"/>
      <c r="AA1019" s="131"/>
    </row>
    <row r="1020" ht="14.25" customHeight="1">
      <c r="E1020" s="1"/>
      <c r="F1020" s="130"/>
      <c r="AA1020" s="131"/>
    </row>
    <row r="1021" ht="14.25" customHeight="1">
      <c r="E1021" s="1"/>
      <c r="F1021" s="130"/>
      <c r="AA1021" s="131"/>
    </row>
    <row r="1022" ht="14.25" customHeight="1">
      <c r="E1022" s="1"/>
      <c r="F1022" s="130"/>
      <c r="AA1022" s="131"/>
    </row>
    <row r="1023" ht="14.25" customHeight="1">
      <c r="E1023" s="1"/>
      <c r="F1023" s="130"/>
      <c r="AA1023" s="131"/>
    </row>
  </sheetData>
  <printOptions/>
  <pageMargins bottom="0.7519685039370079" footer="0.0" header="0.0" left="0.7007874015748032" right="0.7007874015748032" top="0.7519685039370079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4.29"/>
    <col customWidth="1" min="2" max="4" width="32.0"/>
  </cols>
  <sheetData>
    <row r="1">
      <c r="A1" s="132" t="s">
        <v>41</v>
      </c>
      <c r="B1" s="12" t="s">
        <v>42</v>
      </c>
      <c r="C1" s="133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</row>
    <row r="2">
      <c r="A2" s="134"/>
      <c r="B2" s="133"/>
      <c r="C2" s="133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</row>
    <row r="3">
      <c r="A3" s="135" t="s">
        <v>52</v>
      </c>
      <c r="B3" s="135" t="s">
        <v>529</v>
      </c>
      <c r="C3" s="135" t="s">
        <v>530</v>
      </c>
      <c r="D3" s="136" t="s">
        <v>53</v>
      </c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</row>
    <row r="4">
      <c r="A4" s="59" t="s">
        <v>80</v>
      </c>
      <c r="B4" s="40" t="s">
        <v>155</v>
      </c>
      <c r="C4" s="133"/>
      <c r="D4" s="59">
        <v>1.0</v>
      </c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</row>
    <row r="5">
      <c r="A5" s="59" t="s">
        <v>89</v>
      </c>
      <c r="B5" s="40" t="s">
        <v>134</v>
      </c>
      <c r="C5" s="133"/>
      <c r="D5" s="59">
        <v>2.0</v>
      </c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4"/>
      <c r="V5" s="134"/>
      <c r="W5" s="134"/>
      <c r="X5" s="134"/>
    </row>
    <row r="6">
      <c r="A6" s="59" t="s">
        <v>106</v>
      </c>
      <c r="B6" s="60" t="s">
        <v>531</v>
      </c>
      <c r="C6" s="133"/>
      <c r="D6" s="59">
        <v>3.0</v>
      </c>
      <c r="E6" s="134"/>
      <c r="F6" s="134"/>
      <c r="G6" s="134"/>
      <c r="H6" s="134"/>
      <c r="I6" s="134"/>
      <c r="J6" s="134"/>
      <c r="K6" s="134"/>
      <c r="L6" s="134"/>
      <c r="M6" s="134"/>
      <c r="N6" s="134"/>
      <c r="O6" s="134"/>
      <c r="P6" s="134"/>
      <c r="Q6" s="134"/>
      <c r="R6" s="134"/>
      <c r="S6" s="134"/>
      <c r="T6" s="134"/>
      <c r="U6" s="134"/>
      <c r="V6" s="134"/>
      <c r="W6" s="134"/>
      <c r="X6" s="134"/>
    </row>
    <row r="7">
      <c r="A7" s="59" t="s">
        <v>145</v>
      </c>
      <c r="B7" s="60" t="s">
        <v>532</v>
      </c>
      <c r="C7" s="133"/>
      <c r="D7" s="138">
        <v>4.0</v>
      </c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/>
      <c r="V7" s="134"/>
      <c r="W7" s="134"/>
      <c r="X7" s="134"/>
    </row>
    <row r="8">
      <c r="A8" s="139"/>
      <c r="B8" s="133"/>
      <c r="C8" s="133"/>
      <c r="D8" s="133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4"/>
      <c r="V8" s="134"/>
      <c r="W8" s="134"/>
      <c r="X8" s="134"/>
    </row>
    <row r="9">
      <c r="A9" s="133"/>
      <c r="B9" s="133"/>
      <c r="C9" s="133"/>
      <c r="D9" s="133"/>
      <c r="E9" s="134"/>
      <c r="F9" s="134"/>
      <c r="G9" s="134"/>
      <c r="H9" s="134"/>
      <c r="I9" s="134"/>
      <c r="J9" s="134"/>
      <c r="K9" s="134"/>
      <c r="L9" s="134"/>
      <c r="M9" s="134"/>
      <c r="N9" s="134"/>
      <c r="O9" s="134"/>
      <c r="P9" s="134"/>
      <c r="Q9" s="134"/>
      <c r="R9" s="134"/>
      <c r="S9" s="134"/>
      <c r="T9" s="134"/>
      <c r="U9" s="134"/>
      <c r="V9" s="134"/>
      <c r="W9" s="134"/>
      <c r="X9" s="134"/>
    </row>
  </sheetData>
  <hyperlinks>
    <hyperlink r:id="rId1" ref="B1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51.86"/>
    <col customWidth="1" min="3" max="3" width="30.29"/>
    <col customWidth="1" min="4" max="4" width="52.71"/>
    <col customWidth="1" min="5" max="5" width="29.43"/>
    <col customWidth="1" min="6" max="6" width="102.0"/>
  </cols>
  <sheetData>
    <row r="1">
      <c r="A1" s="25" t="s">
        <v>41</v>
      </c>
      <c r="B1" s="74" t="str">
        <f>Classes!B1</f>
        <v>https://data.archives.haute-garonne.fr/modeles/sacsaproces</v>
      </c>
      <c r="C1" s="134"/>
      <c r="D1" s="140"/>
      <c r="E1" s="141"/>
      <c r="F1" s="134"/>
    </row>
    <row r="2">
      <c r="A2" s="139"/>
      <c r="B2" s="134"/>
      <c r="C2" s="134"/>
      <c r="D2" s="140"/>
      <c r="E2" s="141"/>
      <c r="F2" s="134"/>
    </row>
    <row r="3">
      <c r="A3" s="139"/>
      <c r="B3" s="134"/>
      <c r="C3" s="134"/>
      <c r="D3" s="140"/>
      <c r="E3" s="141"/>
      <c r="F3" s="134"/>
    </row>
    <row r="4">
      <c r="A4" s="139"/>
      <c r="B4" s="134"/>
      <c r="C4" s="134"/>
      <c r="D4" s="140"/>
      <c r="E4" s="141"/>
      <c r="F4" s="134"/>
    </row>
    <row r="5">
      <c r="A5" s="139"/>
      <c r="B5" s="134"/>
      <c r="C5" s="134"/>
      <c r="D5" s="140"/>
      <c r="E5" s="141"/>
      <c r="F5" s="134"/>
    </row>
    <row r="6">
      <c r="A6" s="139"/>
      <c r="B6" s="134"/>
      <c r="C6" s="134"/>
      <c r="D6" s="140"/>
      <c r="E6" s="141"/>
      <c r="F6" s="134"/>
    </row>
    <row r="7">
      <c r="A7" s="142" t="s">
        <v>52</v>
      </c>
      <c r="B7" s="143" t="s">
        <v>50</v>
      </c>
      <c r="C7" s="143" t="s">
        <v>533</v>
      </c>
      <c r="D7" s="144" t="s">
        <v>530</v>
      </c>
      <c r="E7" s="144" t="s">
        <v>534</v>
      </c>
      <c r="F7" s="142" t="s">
        <v>535</v>
      </c>
    </row>
    <row r="8">
      <c r="A8" s="59" t="s">
        <v>536</v>
      </c>
      <c r="B8" s="59" t="s">
        <v>537</v>
      </c>
      <c r="C8" s="145" t="s">
        <v>72</v>
      </c>
      <c r="D8" s="52" t="s">
        <v>538</v>
      </c>
      <c r="E8" s="52" t="s">
        <v>539</v>
      </c>
      <c r="F8" s="67" t="s">
        <v>540</v>
      </c>
    </row>
    <row r="9">
      <c r="D9" s="69"/>
      <c r="E9" s="69"/>
    </row>
    <row r="10">
      <c r="D10" s="69"/>
      <c r="E10" s="69"/>
    </row>
    <row r="11">
      <c r="D11" s="69"/>
      <c r="E11" s="69"/>
    </row>
    <row r="12">
      <c r="D12" s="69"/>
      <c r="E12" s="69"/>
    </row>
    <row r="13">
      <c r="D13" s="69"/>
      <c r="E13" s="69"/>
    </row>
    <row r="14">
      <c r="D14" s="69"/>
      <c r="E14" s="69"/>
    </row>
    <row r="15">
      <c r="D15" s="69"/>
      <c r="E15" s="69"/>
    </row>
    <row r="16">
      <c r="D16" s="69"/>
      <c r="E16" s="69"/>
    </row>
    <row r="17">
      <c r="D17" s="69"/>
      <c r="E17" s="69"/>
    </row>
    <row r="18">
      <c r="D18" s="69"/>
      <c r="E18" s="69"/>
    </row>
    <row r="19">
      <c r="D19" s="69"/>
      <c r="E19" s="69"/>
    </row>
    <row r="20">
      <c r="D20" s="69"/>
      <c r="E20" s="69"/>
    </row>
    <row r="21">
      <c r="D21" s="69"/>
      <c r="E21" s="69"/>
    </row>
    <row r="22">
      <c r="D22" s="69"/>
      <c r="E22" s="69"/>
    </row>
    <row r="23">
      <c r="D23" s="69"/>
      <c r="E23" s="69"/>
    </row>
    <row r="24">
      <c r="D24" s="69"/>
      <c r="E24" s="69"/>
    </row>
    <row r="25">
      <c r="D25" s="69"/>
      <c r="E25" s="69"/>
    </row>
    <row r="26">
      <c r="D26" s="69"/>
      <c r="E26" s="69"/>
    </row>
    <row r="27">
      <c r="D27" s="69"/>
      <c r="E27" s="69"/>
    </row>
    <row r="28">
      <c r="D28" s="69"/>
      <c r="E28" s="69"/>
    </row>
    <row r="29">
      <c r="D29" s="69"/>
      <c r="E29" s="69"/>
    </row>
    <row r="30">
      <c r="D30" s="69"/>
      <c r="E30" s="69"/>
    </row>
    <row r="31">
      <c r="D31" s="69"/>
      <c r="E31" s="69"/>
    </row>
    <row r="32">
      <c r="D32" s="69"/>
      <c r="E32" s="69"/>
    </row>
    <row r="33">
      <c r="D33" s="69"/>
      <c r="E33" s="69"/>
    </row>
    <row r="34">
      <c r="D34" s="69"/>
      <c r="E34" s="69"/>
    </row>
    <row r="35">
      <c r="D35" s="69"/>
      <c r="E35" s="69"/>
    </row>
    <row r="36">
      <c r="D36" s="69"/>
      <c r="E36" s="69"/>
    </row>
    <row r="37">
      <c r="D37" s="69"/>
      <c r="E37" s="69"/>
    </row>
    <row r="38">
      <c r="D38" s="69"/>
      <c r="E38" s="69"/>
    </row>
    <row r="39">
      <c r="D39" s="69"/>
      <c r="E39" s="69"/>
    </row>
    <row r="40">
      <c r="D40" s="69"/>
      <c r="E40" s="69"/>
    </row>
    <row r="41">
      <c r="D41" s="69"/>
      <c r="E41" s="69"/>
    </row>
    <row r="42">
      <c r="D42" s="69"/>
      <c r="E42" s="69"/>
    </row>
    <row r="43">
      <c r="D43" s="69"/>
      <c r="E43" s="69"/>
    </row>
    <row r="44">
      <c r="D44" s="69"/>
      <c r="E44" s="69"/>
    </row>
    <row r="45">
      <c r="D45" s="69"/>
      <c r="E45" s="69"/>
    </row>
    <row r="46">
      <c r="D46" s="69"/>
      <c r="E46" s="69"/>
    </row>
    <row r="47">
      <c r="D47" s="69"/>
      <c r="E47" s="69"/>
    </row>
    <row r="48">
      <c r="D48" s="69"/>
      <c r="E48" s="69"/>
    </row>
    <row r="49">
      <c r="D49" s="69"/>
      <c r="E49" s="69"/>
    </row>
    <row r="50">
      <c r="D50" s="69"/>
      <c r="E50" s="69"/>
    </row>
    <row r="51">
      <c r="D51" s="69"/>
      <c r="E51" s="69"/>
    </row>
    <row r="52">
      <c r="D52" s="69"/>
      <c r="E52" s="69"/>
    </row>
    <row r="53">
      <c r="D53" s="69"/>
      <c r="E53" s="69"/>
    </row>
    <row r="54">
      <c r="D54" s="69"/>
      <c r="E54" s="69"/>
    </row>
    <row r="55">
      <c r="D55" s="69"/>
      <c r="E55" s="69"/>
    </row>
    <row r="56">
      <c r="D56" s="69"/>
      <c r="E56" s="69"/>
    </row>
    <row r="57">
      <c r="D57" s="69"/>
      <c r="E57" s="69"/>
    </row>
    <row r="58">
      <c r="D58" s="69"/>
      <c r="E58" s="69"/>
    </row>
    <row r="59">
      <c r="D59" s="69"/>
      <c r="E59" s="69"/>
    </row>
    <row r="60">
      <c r="D60" s="69"/>
      <c r="E60" s="69"/>
    </row>
    <row r="61">
      <c r="D61" s="69"/>
      <c r="E61" s="69"/>
    </row>
    <row r="62">
      <c r="D62" s="69"/>
      <c r="E62" s="69"/>
    </row>
    <row r="63">
      <c r="D63" s="69"/>
      <c r="E63" s="69"/>
    </row>
    <row r="64">
      <c r="D64" s="69"/>
      <c r="E64" s="69"/>
    </row>
    <row r="65">
      <c r="D65" s="69"/>
      <c r="E65" s="69"/>
    </row>
    <row r="66">
      <c r="D66" s="69"/>
      <c r="E66" s="69"/>
    </row>
    <row r="67">
      <c r="D67" s="69"/>
      <c r="E67" s="69"/>
    </row>
    <row r="68">
      <c r="D68" s="69"/>
      <c r="E68" s="69"/>
    </row>
    <row r="69">
      <c r="D69" s="69"/>
      <c r="E69" s="69"/>
    </row>
    <row r="70">
      <c r="D70" s="69"/>
      <c r="E70" s="69"/>
    </row>
    <row r="71">
      <c r="D71" s="69"/>
      <c r="E71" s="69"/>
    </row>
    <row r="72">
      <c r="D72" s="69"/>
      <c r="E72" s="69"/>
    </row>
    <row r="73">
      <c r="D73" s="69"/>
      <c r="E73" s="69"/>
    </row>
    <row r="74">
      <c r="D74" s="69"/>
      <c r="E74" s="69"/>
    </row>
    <row r="75">
      <c r="D75" s="69"/>
      <c r="E75" s="69"/>
    </row>
    <row r="76">
      <c r="D76" s="69"/>
      <c r="E76" s="69"/>
    </row>
    <row r="77">
      <c r="D77" s="69"/>
      <c r="E77" s="69"/>
    </row>
    <row r="78">
      <c r="D78" s="69"/>
      <c r="E78" s="69"/>
    </row>
    <row r="79">
      <c r="D79" s="69"/>
      <c r="E79" s="69"/>
    </row>
    <row r="80">
      <c r="D80" s="69"/>
      <c r="E80" s="69"/>
    </row>
    <row r="81">
      <c r="D81" s="69"/>
      <c r="E81" s="69"/>
    </row>
    <row r="82">
      <c r="D82" s="69"/>
      <c r="E82" s="69"/>
    </row>
    <row r="83">
      <c r="D83" s="69"/>
      <c r="E83" s="69"/>
    </row>
    <row r="84">
      <c r="D84" s="69"/>
      <c r="E84" s="69"/>
    </row>
    <row r="85">
      <c r="D85" s="69"/>
      <c r="E85" s="69"/>
    </row>
    <row r="86">
      <c r="D86" s="69"/>
      <c r="E86" s="69"/>
    </row>
    <row r="87">
      <c r="D87" s="69"/>
      <c r="E87" s="69"/>
    </row>
    <row r="88">
      <c r="D88" s="69"/>
      <c r="E88" s="69"/>
    </row>
    <row r="89">
      <c r="D89" s="69"/>
      <c r="E89" s="69"/>
    </row>
    <row r="90">
      <c r="D90" s="69"/>
      <c r="E90" s="69"/>
    </row>
    <row r="91">
      <c r="D91" s="69"/>
      <c r="E91" s="69"/>
    </row>
    <row r="92">
      <c r="D92" s="69"/>
      <c r="E92" s="69"/>
    </row>
    <row r="93">
      <c r="D93" s="69"/>
      <c r="E93" s="69"/>
    </row>
    <row r="94">
      <c r="D94" s="69"/>
      <c r="E94" s="69"/>
    </row>
    <row r="95">
      <c r="D95" s="69"/>
      <c r="E95" s="69"/>
    </row>
    <row r="96">
      <c r="D96" s="69"/>
      <c r="E96" s="69"/>
    </row>
    <row r="97">
      <c r="D97" s="69"/>
      <c r="E97" s="69"/>
    </row>
    <row r="98">
      <c r="D98" s="69"/>
      <c r="E98" s="69"/>
    </row>
    <row r="99">
      <c r="D99" s="69"/>
      <c r="E99" s="69"/>
    </row>
    <row r="100">
      <c r="D100" s="69"/>
      <c r="E100" s="69"/>
    </row>
    <row r="101">
      <c r="D101" s="69"/>
      <c r="E101" s="69"/>
    </row>
    <row r="102">
      <c r="D102" s="69"/>
      <c r="E102" s="69"/>
    </row>
    <row r="103">
      <c r="D103" s="69"/>
      <c r="E103" s="69"/>
    </row>
    <row r="104">
      <c r="D104" s="69"/>
      <c r="E104" s="69"/>
    </row>
    <row r="105">
      <c r="D105" s="69"/>
      <c r="E105" s="69"/>
    </row>
    <row r="106">
      <c r="D106" s="69"/>
      <c r="E106" s="69"/>
    </row>
    <row r="107">
      <c r="D107" s="69"/>
      <c r="E107" s="69"/>
    </row>
    <row r="108">
      <c r="D108" s="69"/>
      <c r="E108" s="69"/>
    </row>
    <row r="109">
      <c r="D109" s="69"/>
      <c r="E109" s="69"/>
    </row>
    <row r="110">
      <c r="D110" s="69"/>
      <c r="E110" s="69"/>
    </row>
    <row r="111">
      <c r="D111" s="69"/>
      <c r="E111" s="69"/>
    </row>
    <row r="112">
      <c r="D112" s="69"/>
      <c r="E112" s="69"/>
    </row>
    <row r="113">
      <c r="D113" s="69"/>
      <c r="E113" s="69"/>
    </row>
    <row r="114">
      <c r="D114" s="69"/>
      <c r="E114" s="69"/>
    </row>
    <row r="115">
      <c r="D115" s="69"/>
      <c r="E115" s="69"/>
    </row>
    <row r="116">
      <c r="D116" s="69"/>
      <c r="E116" s="69"/>
    </row>
    <row r="117">
      <c r="D117" s="69"/>
      <c r="E117" s="69"/>
    </row>
    <row r="118">
      <c r="D118" s="69"/>
      <c r="E118" s="69"/>
    </row>
    <row r="119">
      <c r="D119" s="69"/>
      <c r="E119" s="69"/>
    </row>
    <row r="120">
      <c r="D120" s="69"/>
      <c r="E120" s="69"/>
    </row>
    <row r="121">
      <c r="D121" s="69"/>
      <c r="E121" s="69"/>
    </row>
    <row r="122">
      <c r="D122" s="69"/>
      <c r="E122" s="69"/>
    </row>
    <row r="123">
      <c r="D123" s="69"/>
      <c r="E123" s="69"/>
    </row>
    <row r="124">
      <c r="D124" s="69"/>
      <c r="E124" s="69"/>
    </row>
    <row r="125">
      <c r="D125" s="69"/>
      <c r="E125" s="69"/>
    </row>
    <row r="126">
      <c r="D126" s="69"/>
      <c r="E126" s="69"/>
    </row>
    <row r="127">
      <c r="D127" s="69"/>
      <c r="E127" s="69"/>
    </row>
    <row r="128">
      <c r="D128" s="69"/>
      <c r="E128" s="69"/>
    </row>
    <row r="129">
      <c r="D129" s="69"/>
      <c r="E129" s="69"/>
    </row>
    <row r="130">
      <c r="D130" s="69"/>
      <c r="E130" s="69"/>
    </row>
    <row r="131">
      <c r="D131" s="69"/>
      <c r="E131" s="69"/>
    </row>
    <row r="132">
      <c r="D132" s="69"/>
      <c r="E132" s="69"/>
    </row>
    <row r="133">
      <c r="D133" s="69"/>
      <c r="E133" s="69"/>
    </row>
    <row r="134">
      <c r="D134" s="69"/>
      <c r="E134" s="69"/>
    </row>
    <row r="135">
      <c r="D135" s="69"/>
      <c r="E135" s="69"/>
    </row>
    <row r="136">
      <c r="D136" s="69"/>
      <c r="E136" s="69"/>
    </row>
    <row r="137">
      <c r="D137" s="69"/>
      <c r="E137" s="69"/>
    </row>
    <row r="138">
      <c r="D138" s="69"/>
      <c r="E138" s="69"/>
    </row>
    <row r="139">
      <c r="D139" s="69"/>
      <c r="E139" s="69"/>
    </row>
    <row r="140">
      <c r="D140" s="69"/>
      <c r="E140" s="69"/>
    </row>
    <row r="141">
      <c r="D141" s="69"/>
      <c r="E141" s="69"/>
    </row>
    <row r="142">
      <c r="D142" s="69"/>
      <c r="E142" s="69"/>
    </row>
    <row r="143">
      <c r="D143" s="69"/>
      <c r="E143" s="69"/>
    </row>
    <row r="144">
      <c r="D144" s="69"/>
      <c r="E144" s="69"/>
    </row>
    <row r="145">
      <c r="D145" s="69"/>
      <c r="E145" s="69"/>
    </row>
    <row r="146">
      <c r="D146" s="69"/>
      <c r="E146" s="69"/>
    </row>
    <row r="147">
      <c r="D147" s="69"/>
      <c r="E147" s="69"/>
    </row>
    <row r="148">
      <c r="D148" s="69"/>
      <c r="E148" s="69"/>
    </row>
    <row r="149">
      <c r="D149" s="69"/>
      <c r="E149" s="69"/>
    </row>
    <row r="150">
      <c r="D150" s="69"/>
      <c r="E150" s="69"/>
    </row>
    <row r="151">
      <c r="D151" s="69"/>
      <c r="E151" s="69"/>
    </row>
    <row r="152">
      <c r="D152" s="69"/>
      <c r="E152" s="69"/>
    </row>
    <row r="153">
      <c r="D153" s="69"/>
      <c r="E153" s="69"/>
    </row>
    <row r="154">
      <c r="D154" s="69"/>
      <c r="E154" s="69"/>
    </row>
    <row r="155">
      <c r="D155" s="69"/>
      <c r="E155" s="69"/>
    </row>
    <row r="156">
      <c r="D156" s="69"/>
      <c r="E156" s="69"/>
    </row>
    <row r="157">
      <c r="D157" s="69"/>
      <c r="E157" s="69"/>
    </row>
    <row r="158">
      <c r="D158" s="69"/>
      <c r="E158" s="69"/>
    </row>
    <row r="159">
      <c r="D159" s="69"/>
      <c r="E159" s="69"/>
    </row>
    <row r="160">
      <c r="D160" s="69"/>
      <c r="E160" s="69"/>
    </row>
    <row r="161">
      <c r="D161" s="69"/>
      <c r="E161" s="69"/>
    </row>
    <row r="162">
      <c r="D162" s="69"/>
      <c r="E162" s="69"/>
    </row>
    <row r="163">
      <c r="D163" s="69"/>
      <c r="E163" s="69"/>
    </row>
    <row r="164">
      <c r="D164" s="69"/>
      <c r="E164" s="69"/>
    </row>
    <row r="165">
      <c r="D165" s="69"/>
      <c r="E165" s="69"/>
    </row>
    <row r="166">
      <c r="D166" s="69"/>
      <c r="E166" s="69"/>
    </row>
    <row r="167">
      <c r="D167" s="69"/>
      <c r="E167" s="69"/>
    </row>
    <row r="168">
      <c r="D168" s="69"/>
      <c r="E168" s="69"/>
    </row>
    <row r="169">
      <c r="D169" s="69"/>
      <c r="E169" s="69"/>
    </row>
    <row r="170">
      <c r="D170" s="69"/>
      <c r="E170" s="69"/>
    </row>
    <row r="171">
      <c r="D171" s="69"/>
      <c r="E171" s="69"/>
    </row>
    <row r="172">
      <c r="D172" s="69"/>
      <c r="E172" s="69"/>
    </row>
    <row r="173">
      <c r="D173" s="69"/>
      <c r="E173" s="69"/>
    </row>
    <row r="174">
      <c r="D174" s="69"/>
      <c r="E174" s="69"/>
    </row>
    <row r="175">
      <c r="D175" s="69"/>
      <c r="E175" s="69"/>
    </row>
    <row r="176">
      <c r="D176" s="69"/>
      <c r="E176" s="69"/>
    </row>
    <row r="177">
      <c r="D177" s="69"/>
      <c r="E177" s="69"/>
    </row>
    <row r="178">
      <c r="D178" s="69"/>
      <c r="E178" s="69"/>
    </row>
    <row r="179">
      <c r="D179" s="69"/>
      <c r="E179" s="69"/>
    </row>
    <row r="180">
      <c r="D180" s="69"/>
      <c r="E180" s="69"/>
    </row>
    <row r="181">
      <c r="D181" s="69"/>
      <c r="E181" s="69"/>
    </row>
    <row r="182">
      <c r="D182" s="69"/>
      <c r="E182" s="69"/>
    </row>
    <row r="183">
      <c r="D183" s="69"/>
      <c r="E183" s="69"/>
    </row>
    <row r="184">
      <c r="D184" s="69"/>
      <c r="E184" s="69"/>
    </row>
    <row r="185">
      <c r="D185" s="69"/>
      <c r="E185" s="69"/>
    </row>
    <row r="186">
      <c r="D186" s="69"/>
      <c r="E186" s="69"/>
    </row>
    <row r="187">
      <c r="D187" s="69"/>
      <c r="E187" s="69"/>
    </row>
    <row r="188">
      <c r="D188" s="69"/>
      <c r="E188" s="69"/>
    </row>
    <row r="189">
      <c r="D189" s="69"/>
      <c r="E189" s="69"/>
    </row>
    <row r="190">
      <c r="D190" s="69"/>
      <c r="E190" s="69"/>
    </row>
    <row r="191">
      <c r="D191" s="69"/>
      <c r="E191" s="69"/>
    </row>
    <row r="192">
      <c r="D192" s="69"/>
      <c r="E192" s="69"/>
    </row>
    <row r="193">
      <c r="D193" s="69"/>
      <c r="E193" s="69"/>
    </row>
    <row r="194">
      <c r="D194" s="69"/>
      <c r="E194" s="69"/>
    </row>
    <row r="195">
      <c r="D195" s="69"/>
      <c r="E195" s="69"/>
    </row>
    <row r="196">
      <c r="D196" s="69"/>
      <c r="E196" s="69"/>
    </row>
    <row r="197">
      <c r="D197" s="69"/>
      <c r="E197" s="69"/>
    </row>
    <row r="198">
      <c r="D198" s="69"/>
      <c r="E198" s="69"/>
    </row>
    <row r="199">
      <c r="D199" s="69"/>
      <c r="E199" s="69"/>
    </row>
    <row r="200">
      <c r="D200" s="69"/>
      <c r="E200" s="69"/>
    </row>
    <row r="201">
      <c r="D201" s="69"/>
      <c r="E201" s="69"/>
    </row>
    <row r="202">
      <c r="D202" s="69"/>
      <c r="E202" s="69"/>
    </row>
    <row r="203">
      <c r="D203" s="69"/>
      <c r="E203" s="69"/>
    </row>
    <row r="204">
      <c r="D204" s="69"/>
      <c r="E204" s="69"/>
    </row>
    <row r="205">
      <c r="D205" s="69"/>
      <c r="E205" s="69"/>
    </row>
    <row r="206">
      <c r="D206" s="69"/>
      <c r="E206" s="69"/>
    </row>
    <row r="207">
      <c r="D207" s="69"/>
      <c r="E207" s="69"/>
    </row>
    <row r="208">
      <c r="D208" s="69"/>
      <c r="E208" s="69"/>
    </row>
    <row r="209">
      <c r="D209" s="69"/>
      <c r="E209" s="69"/>
    </row>
    <row r="210">
      <c r="D210" s="69"/>
      <c r="E210" s="69"/>
    </row>
    <row r="211">
      <c r="D211" s="69"/>
      <c r="E211" s="69"/>
    </row>
    <row r="212">
      <c r="D212" s="69"/>
      <c r="E212" s="69"/>
    </row>
    <row r="213">
      <c r="D213" s="69"/>
      <c r="E213" s="69"/>
    </row>
    <row r="214">
      <c r="D214" s="69"/>
      <c r="E214" s="69"/>
    </row>
    <row r="215">
      <c r="D215" s="69"/>
      <c r="E215" s="69"/>
    </row>
    <row r="216">
      <c r="D216" s="69"/>
      <c r="E216" s="69"/>
    </row>
    <row r="217">
      <c r="D217" s="69"/>
      <c r="E217" s="69"/>
    </row>
    <row r="218">
      <c r="D218" s="69"/>
      <c r="E218" s="69"/>
    </row>
    <row r="219">
      <c r="D219" s="69"/>
      <c r="E219" s="69"/>
    </row>
    <row r="220">
      <c r="D220" s="69"/>
      <c r="E220" s="69"/>
    </row>
    <row r="221">
      <c r="D221" s="69"/>
      <c r="E221" s="69"/>
    </row>
    <row r="222">
      <c r="D222" s="69"/>
      <c r="E222" s="69"/>
    </row>
    <row r="223">
      <c r="D223" s="69"/>
      <c r="E223" s="69"/>
    </row>
    <row r="224">
      <c r="D224" s="69"/>
      <c r="E224" s="69"/>
    </row>
    <row r="225">
      <c r="D225" s="69"/>
      <c r="E225" s="69"/>
    </row>
    <row r="226">
      <c r="D226" s="69"/>
      <c r="E226" s="69"/>
    </row>
    <row r="227">
      <c r="D227" s="69"/>
      <c r="E227" s="69"/>
    </row>
    <row r="228">
      <c r="D228" s="69"/>
      <c r="E228" s="69"/>
    </row>
    <row r="229">
      <c r="D229" s="69"/>
      <c r="E229" s="69"/>
    </row>
    <row r="230">
      <c r="D230" s="69"/>
      <c r="E230" s="69"/>
    </row>
    <row r="231">
      <c r="D231" s="69"/>
      <c r="E231" s="69"/>
    </row>
    <row r="232">
      <c r="D232" s="69"/>
      <c r="E232" s="69"/>
    </row>
    <row r="233">
      <c r="D233" s="69"/>
      <c r="E233" s="69"/>
    </row>
    <row r="234">
      <c r="D234" s="69"/>
      <c r="E234" s="69"/>
    </row>
    <row r="235">
      <c r="D235" s="69"/>
      <c r="E235" s="69"/>
    </row>
    <row r="236">
      <c r="D236" s="69"/>
      <c r="E236" s="69"/>
    </row>
    <row r="237">
      <c r="D237" s="69"/>
      <c r="E237" s="69"/>
    </row>
    <row r="238">
      <c r="D238" s="69"/>
      <c r="E238" s="69"/>
    </row>
    <row r="239">
      <c r="D239" s="69"/>
      <c r="E239" s="69"/>
    </row>
    <row r="240">
      <c r="D240" s="69"/>
      <c r="E240" s="69"/>
    </row>
    <row r="241">
      <c r="D241" s="69"/>
      <c r="E241" s="69"/>
    </row>
    <row r="242">
      <c r="D242" s="69"/>
      <c r="E242" s="69"/>
    </row>
    <row r="243">
      <c r="D243" s="69"/>
      <c r="E243" s="69"/>
    </row>
    <row r="244">
      <c r="D244" s="69"/>
      <c r="E244" s="69"/>
    </row>
    <row r="245">
      <c r="D245" s="69"/>
      <c r="E245" s="69"/>
    </row>
    <row r="246">
      <c r="D246" s="69"/>
      <c r="E246" s="69"/>
    </row>
    <row r="247">
      <c r="D247" s="69"/>
      <c r="E247" s="69"/>
    </row>
    <row r="248">
      <c r="D248" s="69"/>
      <c r="E248" s="69"/>
    </row>
    <row r="249">
      <c r="D249" s="69"/>
      <c r="E249" s="69"/>
    </row>
    <row r="250">
      <c r="D250" s="69"/>
      <c r="E250" s="69"/>
    </row>
    <row r="251">
      <c r="D251" s="69"/>
      <c r="E251" s="69"/>
    </row>
    <row r="252">
      <c r="D252" s="69"/>
      <c r="E252" s="69"/>
    </row>
    <row r="253">
      <c r="D253" s="69"/>
      <c r="E253" s="69"/>
    </row>
    <row r="254">
      <c r="D254" s="69"/>
      <c r="E254" s="69"/>
    </row>
    <row r="255">
      <c r="D255" s="69"/>
      <c r="E255" s="69"/>
    </row>
    <row r="256">
      <c r="D256" s="69"/>
      <c r="E256" s="69"/>
    </row>
    <row r="257">
      <c r="D257" s="69"/>
      <c r="E257" s="69"/>
    </row>
    <row r="258">
      <c r="D258" s="69"/>
      <c r="E258" s="69"/>
    </row>
    <row r="259">
      <c r="D259" s="69"/>
      <c r="E259" s="69"/>
    </row>
    <row r="260">
      <c r="D260" s="69"/>
      <c r="E260" s="69"/>
    </row>
    <row r="261">
      <c r="D261" s="69"/>
      <c r="E261" s="69"/>
    </row>
    <row r="262">
      <c r="D262" s="69"/>
      <c r="E262" s="69"/>
    </row>
    <row r="263">
      <c r="D263" s="69"/>
      <c r="E263" s="69"/>
    </row>
    <row r="264">
      <c r="D264" s="69"/>
      <c r="E264" s="69"/>
    </row>
    <row r="265">
      <c r="D265" s="69"/>
      <c r="E265" s="69"/>
    </row>
    <row r="266">
      <c r="D266" s="69"/>
      <c r="E266" s="69"/>
    </row>
    <row r="267">
      <c r="D267" s="69"/>
      <c r="E267" s="69"/>
    </row>
    <row r="268">
      <c r="D268" s="69"/>
      <c r="E268" s="69"/>
    </row>
    <row r="269">
      <c r="D269" s="69"/>
      <c r="E269" s="69"/>
    </row>
    <row r="270">
      <c r="D270" s="69"/>
      <c r="E270" s="69"/>
    </row>
    <row r="271">
      <c r="D271" s="69"/>
      <c r="E271" s="69"/>
    </row>
    <row r="272">
      <c r="D272" s="69"/>
      <c r="E272" s="69"/>
    </row>
    <row r="273">
      <c r="D273" s="69"/>
      <c r="E273" s="69"/>
    </row>
    <row r="274">
      <c r="D274" s="69"/>
      <c r="E274" s="69"/>
    </row>
    <row r="275">
      <c r="D275" s="69"/>
      <c r="E275" s="69"/>
    </row>
    <row r="276">
      <c r="D276" s="69"/>
      <c r="E276" s="69"/>
    </row>
    <row r="277">
      <c r="D277" s="69"/>
      <c r="E277" s="69"/>
    </row>
    <row r="278">
      <c r="D278" s="69"/>
      <c r="E278" s="69"/>
    </row>
    <row r="279">
      <c r="D279" s="69"/>
      <c r="E279" s="69"/>
    </row>
    <row r="280">
      <c r="D280" s="69"/>
      <c r="E280" s="69"/>
    </row>
    <row r="281">
      <c r="D281" s="69"/>
      <c r="E281" s="69"/>
    </row>
    <row r="282">
      <c r="D282" s="69"/>
      <c r="E282" s="69"/>
    </row>
    <row r="283">
      <c r="D283" s="69"/>
      <c r="E283" s="69"/>
    </row>
    <row r="284">
      <c r="D284" s="69"/>
      <c r="E284" s="69"/>
    </row>
    <row r="285">
      <c r="D285" s="69"/>
      <c r="E285" s="69"/>
    </row>
    <row r="286">
      <c r="D286" s="69"/>
      <c r="E286" s="69"/>
    </row>
    <row r="287">
      <c r="D287" s="69"/>
      <c r="E287" s="69"/>
    </row>
    <row r="288">
      <c r="D288" s="69"/>
      <c r="E288" s="69"/>
    </row>
    <row r="289">
      <c r="D289" s="69"/>
      <c r="E289" s="69"/>
    </row>
    <row r="290">
      <c r="D290" s="69"/>
      <c r="E290" s="69"/>
    </row>
    <row r="291">
      <c r="D291" s="69"/>
      <c r="E291" s="69"/>
    </row>
    <row r="292">
      <c r="D292" s="69"/>
      <c r="E292" s="69"/>
    </row>
    <row r="293">
      <c r="D293" s="69"/>
      <c r="E293" s="69"/>
    </row>
    <row r="294">
      <c r="D294" s="69"/>
      <c r="E294" s="69"/>
    </row>
    <row r="295">
      <c r="D295" s="69"/>
      <c r="E295" s="69"/>
    </row>
    <row r="296">
      <c r="D296" s="69"/>
      <c r="E296" s="69"/>
    </row>
    <row r="297">
      <c r="D297" s="69"/>
      <c r="E297" s="69"/>
    </row>
    <row r="298">
      <c r="D298" s="69"/>
      <c r="E298" s="69"/>
    </row>
    <row r="299">
      <c r="D299" s="69"/>
      <c r="E299" s="69"/>
    </row>
    <row r="300">
      <c r="D300" s="69"/>
      <c r="E300" s="69"/>
    </row>
    <row r="301">
      <c r="D301" s="69"/>
      <c r="E301" s="69"/>
    </row>
    <row r="302">
      <c r="D302" s="69"/>
      <c r="E302" s="69"/>
    </row>
    <row r="303">
      <c r="D303" s="69"/>
      <c r="E303" s="69"/>
    </row>
    <row r="304">
      <c r="D304" s="69"/>
      <c r="E304" s="69"/>
    </row>
    <row r="305">
      <c r="D305" s="69"/>
      <c r="E305" s="69"/>
    </row>
    <row r="306">
      <c r="D306" s="69"/>
      <c r="E306" s="69"/>
    </row>
    <row r="307">
      <c r="D307" s="69"/>
      <c r="E307" s="69"/>
    </row>
    <row r="308">
      <c r="D308" s="69"/>
      <c r="E308" s="69"/>
    </row>
    <row r="309">
      <c r="D309" s="69"/>
      <c r="E309" s="69"/>
    </row>
    <row r="310">
      <c r="D310" s="69"/>
      <c r="E310" s="69"/>
    </row>
    <row r="311">
      <c r="D311" s="69"/>
      <c r="E311" s="69"/>
    </row>
    <row r="312">
      <c r="D312" s="69"/>
      <c r="E312" s="69"/>
    </row>
    <row r="313">
      <c r="D313" s="69"/>
      <c r="E313" s="69"/>
    </row>
    <row r="314">
      <c r="D314" s="69"/>
      <c r="E314" s="69"/>
    </row>
    <row r="315">
      <c r="D315" s="69"/>
      <c r="E315" s="69"/>
    </row>
    <row r="316">
      <c r="D316" s="69"/>
      <c r="E316" s="69"/>
    </row>
    <row r="317">
      <c r="D317" s="69"/>
      <c r="E317" s="69"/>
    </row>
    <row r="318">
      <c r="D318" s="69"/>
      <c r="E318" s="69"/>
    </row>
    <row r="319">
      <c r="D319" s="69"/>
      <c r="E319" s="69"/>
    </row>
    <row r="320">
      <c r="D320" s="69"/>
      <c r="E320" s="69"/>
    </row>
    <row r="321">
      <c r="D321" s="69"/>
      <c r="E321" s="69"/>
    </row>
    <row r="322">
      <c r="D322" s="69"/>
      <c r="E322" s="69"/>
    </row>
    <row r="323">
      <c r="D323" s="69"/>
      <c r="E323" s="69"/>
    </row>
    <row r="324">
      <c r="D324" s="69"/>
      <c r="E324" s="69"/>
    </row>
    <row r="325">
      <c r="D325" s="69"/>
      <c r="E325" s="69"/>
    </row>
    <row r="326">
      <c r="D326" s="69"/>
      <c r="E326" s="69"/>
    </row>
    <row r="327">
      <c r="D327" s="69"/>
      <c r="E327" s="69"/>
    </row>
    <row r="328">
      <c r="D328" s="69"/>
      <c r="E328" s="69"/>
    </row>
    <row r="329">
      <c r="D329" s="69"/>
      <c r="E329" s="69"/>
    </row>
    <row r="330">
      <c r="D330" s="69"/>
      <c r="E330" s="69"/>
    </row>
    <row r="331">
      <c r="D331" s="69"/>
      <c r="E331" s="69"/>
    </row>
    <row r="332">
      <c r="D332" s="69"/>
      <c r="E332" s="69"/>
    </row>
    <row r="333">
      <c r="D333" s="69"/>
      <c r="E333" s="69"/>
    </row>
    <row r="334">
      <c r="D334" s="69"/>
      <c r="E334" s="69"/>
    </row>
    <row r="335">
      <c r="D335" s="69"/>
      <c r="E335" s="69"/>
    </row>
    <row r="336">
      <c r="D336" s="69"/>
      <c r="E336" s="69"/>
    </row>
    <row r="337">
      <c r="D337" s="69"/>
      <c r="E337" s="69"/>
    </row>
    <row r="338">
      <c r="D338" s="69"/>
      <c r="E338" s="69"/>
    </row>
    <row r="339">
      <c r="D339" s="69"/>
      <c r="E339" s="69"/>
    </row>
    <row r="340">
      <c r="D340" s="69"/>
      <c r="E340" s="69"/>
    </row>
    <row r="341">
      <c r="D341" s="69"/>
      <c r="E341" s="69"/>
    </row>
    <row r="342">
      <c r="D342" s="69"/>
      <c r="E342" s="69"/>
    </row>
    <row r="343">
      <c r="D343" s="69"/>
      <c r="E343" s="69"/>
    </row>
    <row r="344">
      <c r="D344" s="69"/>
      <c r="E344" s="69"/>
    </row>
    <row r="345">
      <c r="D345" s="69"/>
      <c r="E345" s="69"/>
    </row>
    <row r="346">
      <c r="D346" s="69"/>
      <c r="E346" s="69"/>
    </row>
    <row r="347">
      <c r="D347" s="69"/>
      <c r="E347" s="69"/>
    </row>
    <row r="348">
      <c r="D348" s="69"/>
      <c r="E348" s="69"/>
    </row>
    <row r="349">
      <c r="D349" s="69"/>
      <c r="E349" s="69"/>
    </row>
    <row r="350">
      <c r="D350" s="69"/>
      <c r="E350" s="69"/>
    </row>
    <row r="351">
      <c r="D351" s="69"/>
      <c r="E351" s="69"/>
    </row>
    <row r="352">
      <c r="D352" s="69"/>
      <c r="E352" s="69"/>
    </row>
    <row r="353">
      <c r="D353" s="69"/>
      <c r="E353" s="69"/>
    </row>
    <row r="354">
      <c r="D354" s="69"/>
      <c r="E354" s="69"/>
    </row>
    <row r="355">
      <c r="D355" s="69"/>
      <c r="E355" s="69"/>
    </row>
    <row r="356">
      <c r="D356" s="69"/>
      <c r="E356" s="69"/>
    </row>
    <row r="357">
      <c r="D357" s="69"/>
      <c r="E357" s="69"/>
    </row>
    <row r="358">
      <c r="D358" s="69"/>
      <c r="E358" s="69"/>
    </row>
    <row r="359">
      <c r="D359" s="69"/>
      <c r="E359" s="69"/>
    </row>
    <row r="360">
      <c r="D360" s="69"/>
      <c r="E360" s="69"/>
    </row>
    <row r="361">
      <c r="D361" s="69"/>
      <c r="E361" s="69"/>
    </row>
    <row r="362">
      <c r="D362" s="69"/>
      <c r="E362" s="69"/>
    </row>
    <row r="363">
      <c r="D363" s="69"/>
      <c r="E363" s="69"/>
    </row>
    <row r="364">
      <c r="D364" s="69"/>
      <c r="E364" s="69"/>
    </row>
    <row r="365">
      <c r="D365" s="69"/>
      <c r="E365" s="69"/>
    </row>
    <row r="366">
      <c r="D366" s="69"/>
      <c r="E366" s="69"/>
    </row>
    <row r="367">
      <c r="D367" s="69"/>
      <c r="E367" s="69"/>
    </row>
    <row r="368">
      <c r="D368" s="69"/>
      <c r="E368" s="69"/>
    </row>
    <row r="369">
      <c r="D369" s="69"/>
      <c r="E369" s="69"/>
    </row>
    <row r="370">
      <c r="D370" s="69"/>
      <c r="E370" s="69"/>
    </row>
    <row r="371">
      <c r="D371" s="69"/>
      <c r="E371" s="69"/>
    </row>
    <row r="372">
      <c r="D372" s="69"/>
      <c r="E372" s="69"/>
    </row>
    <row r="373">
      <c r="D373" s="69"/>
      <c r="E373" s="69"/>
    </row>
    <row r="374">
      <c r="D374" s="69"/>
      <c r="E374" s="69"/>
    </row>
    <row r="375">
      <c r="D375" s="69"/>
      <c r="E375" s="69"/>
    </row>
    <row r="376">
      <c r="D376" s="69"/>
      <c r="E376" s="69"/>
    </row>
    <row r="377">
      <c r="D377" s="69"/>
      <c r="E377" s="69"/>
    </row>
    <row r="378">
      <c r="D378" s="69"/>
      <c r="E378" s="69"/>
    </row>
    <row r="379">
      <c r="D379" s="69"/>
      <c r="E379" s="69"/>
    </row>
    <row r="380">
      <c r="D380" s="69"/>
      <c r="E380" s="69"/>
    </row>
    <row r="381">
      <c r="D381" s="69"/>
      <c r="E381" s="69"/>
    </row>
    <row r="382">
      <c r="D382" s="69"/>
      <c r="E382" s="69"/>
    </row>
    <row r="383">
      <c r="D383" s="69"/>
      <c r="E383" s="69"/>
    </row>
    <row r="384">
      <c r="D384" s="69"/>
      <c r="E384" s="69"/>
    </row>
    <row r="385">
      <c r="D385" s="69"/>
      <c r="E385" s="69"/>
    </row>
    <row r="386">
      <c r="D386" s="69"/>
      <c r="E386" s="69"/>
    </row>
    <row r="387">
      <c r="D387" s="69"/>
      <c r="E387" s="69"/>
    </row>
    <row r="388">
      <c r="D388" s="69"/>
      <c r="E388" s="69"/>
    </row>
    <row r="389">
      <c r="D389" s="69"/>
      <c r="E389" s="69"/>
    </row>
    <row r="390">
      <c r="D390" s="69"/>
      <c r="E390" s="69"/>
    </row>
    <row r="391">
      <c r="D391" s="69"/>
      <c r="E391" s="69"/>
    </row>
    <row r="392">
      <c r="D392" s="69"/>
      <c r="E392" s="69"/>
    </row>
    <row r="393">
      <c r="D393" s="69"/>
      <c r="E393" s="69"/>
    </row>
    <row r="394">
      <c r="D394" s="69"/>
      <c r="E394" s="69"/>
    </row>
    <row r="395">
      <c r="D395" s="69"/>
      <c r="E395" s="69"/>
    </row>
    <row r="396">
      <c r="D396" s="69"/>
      <c r="E396" s="69"/>
    </row>
    <row r="397">
      <c r="D397" s="69"/>
      <c r="E397" s="69"/>
    </row>
    <row r="398">
      <c r="D398" s="69"/>
      <c r="E398" s="69"/>
    </row>
    <row r="399">
      <c r="D399" s="69"/>
      <c r="E399" s="69"/>
    </row>
    <row r="400">
      <c r="D400" s="69"/>
      <c r="E400" s="69"/>
    </row>
    <row r="401">
      <c r="D401" s="69"/>
      <c r="E401" s="69"/>
    </row>
    <row r="402">
      <c r="D402" s="69"/>
      <c r="E402" s="69"/>
    </row>
    <row r="403">
      <c r="D403" s="69"/>
      <c r="E403" s="69"/>
    </row>
    <row r="404">
      <c r="D404" s="69"/>
      <c r="E404" s="69"/>
    </row>
    <row r="405">
      <c r="D405" s="69"/>
      <c r="E405" s="69"/>
    </row>
    <row r="406">
      <c r="D406" s="69"/>
      <c r="E406" s="69"/>
    </row>
    <row r="407">
      <c r="D407" s="69"/>
      <c r="E407" s="69"/>
    </row>
    <row r="408">
      <c r="D408" s="69"/>
      <c r="E408" s="69"/>
    </row>
    <row r="409">
      <c r="D409" s="69"/>
      <c r="E409" s="69"/>
    </row>
    <row r="410">
      <c r="D410" s="69"/>
      <c r="E410" s="69"/>
    </row>
    <row r="411">
      <c r="D411" s="69"/>
      <c r="E411" s="69"/>
    </row>
    <row r="412">
      <c r="D412" s="69"/>
      <c r="E412" s="69"/>
    </row>
    <row r="413">
      <c r="D413" s="69"/>
      <c r="E413" s="69"/>
    </row>
    <row r="414">
      <c r="D414" s="69"/>
      <c r="E414" s="69"/>
    </row>
    <row r="415">
      <c r="D415" s="69"/>
      <c r="E415" s="69"/>
    </row>
    <row r="416">
      <c r="D416" s="69"/>
      <c r="E416" s="69"/>
    </row>
    <row r="417">
      <c r="D417" s="69"/>
      <c r="E417" s="69"/>
    </row>
    <row r="418">
      <c r="D418" s="69"/>
      <c r="E418" s="69"/>
    </row>
    <row r="419">
      <c r="D419" s="69"/>
      <c r="E419" s="69"/>
    </row>
    <row r="420">
      <c r="D420" s="69"/>
      <c r="E420" s="69"/>
    </row>
    <row r="421">
      <c r="D421" s="69"/>
      <c r="E421" s="69"/>
    </row>
    <row r="422">
      <c r="D422" s="69"/>
      <c r="E422" s="69"/>
    </row>
    <row r="423">
      <c r="D423" s="69"/>
      <c r="E423" s="69"/>
    </row>
    <row r="424">
      <c r="D424" s="69"/>
      <c r="E424" s="69"/>
    </row>
    <row r="425">
      <c r="D425" s="69"/>
      <c r="E425" s="69"/>
    </row>
    <row r="426">
      <c r="D426" s="69"/>
      <c r="E426" s="69"/>
    </row>
    <row r="427">
      <c r="D427" s="69"/>
      <c r="E427" s="69"/>
    </row>
    <row r="428">
      <c r="D428" s="69"/>
      <c r="E428" s="69"/>
    </row>
    <row r="429">
      <c r="D429" s="69"/>
      <c r="E429" s="69"/>
    </row>
    <row r="430">
      <c r="D430" s="69"/>
      <c r="E430" s="69"/>
    </row>
    <row r="431">
      <c r="D431" s="69"/>
      <c r="E431" s="69"/>
    </row>
    <row r="432">
      <c r="D432" s="69"/>
      <c r="E432" s="69"/>
    </row>
    <row r="433">
      <c r="D433" s="69"/>
      <c r="E433" s="69"/>
    </row>
    <row r="434">
      <c r="D434" s="69"/>
      <c r="E434" s="69"/>
    </row>
    <row r="435">
      <c r="D435" s="69"/>
      <c r="E435" s="69"/>
    </row>
    <row r="436">
      <c r="D436" s="69"/>
      <c r="E436" s="69"/>
    </row>
    <row r="437">
      <c r="D437" s="69"/>
      <c r="E437" s="69"/>
    </row>
    <row r="438">
      <c r="D438" s="69"/>
      <c r="E438" s="69"/>
    </row>
    <row r="439">
      <c r="D439" s="69"/>
      <c r="E439" s="69"/>
    </row>
    <row r="440">
      <c r="D440" s="69"/>
      <c r="E440" s="69"/>
    </row>
    <row r="441">
      <c r="D441" s="69"/>
      <c r="E441" s="69"/>
    </row>
    <row r="442">
      <c r="D442" s="69"/>
      <c r="E442" s="69"/>
    </row>
    <row r="443">
      <c r="D443" s="69"/>
      <c r="E443" s="69"/>
    </row>
    <row r="444">
      <c r="D444" s="69"/>
      <c r="E444" s="69"/>
    </row>
    <row r="445">
      <c r="D445" s="69"/>
      <c r="E445" s="69"/>
    </row>
    <row r="446">
      <c r="D446" s="69"/>
      <c r="E446" s="69"/>
    </row>
    <row r="447">
      <c r="D447" s="69"/>
      <c r="E447" s="69"/>
    </row>
    <row r="448">
      <c r="D448" s="69"/>
      <c r="E448" s="69"/>
    </row>
    <row r="449">
      <c r="D449" s="69"/>
      <c r="E449" s="69"/>
    </row>
    <row r="450">
      <c r="D450" s="69"/>
      <c r="E450" s="69"/>
    </row>
    <row r="451">
      <c r="D451" s="69"/>
      <c r="E451" s="69"/>
    </row>
    <row r="452">
      <c r="D452" s="69"/>
      <c r="E452" s="69"/>
    </row>
    <row r="453">
      <c r="D453" s="69"/>
      <c r="E453" s="69"/>
    </row>
    <row r="454">
      <c r="D454" s="69"/>
      <c r="E454" s="69"/>
    </row>
    <row r="455">
      <c r="D455" s="69"/>
      <c r="E455" s="69"/>
    </row>
    <row r="456">
      <c r="D456" s="69"/>
      <c r="E456" s="69"/>
    </row>
    <row r="457">
      <c r="D457" s="69"/>
      <c r="E457" s="69"/>
    </row>
    <row r="458">
      <c r="D458" s="69"/>
      <c r="E458" s="69"/>
    </row>
    <row r="459">
      <c r="D459" s="69"/>
      <c r="E459" s="69"/>
    </row>
    <row r="460">
      <c r="D460" s="69"/>
      <c r="E460" s="69"/>
    </row>
    <row r="461">
      <c r="D461" s="69"/>
      <c r="E461" s="69"/>
    </row>
    <row r="462">
      <c r="D462" s="69"/>
      <c r="E462" s="69"/>
    </row>
    <row r="463">
      <c r="D463" s="69"/>
      <c r="E463" s="69"/>
    </row>
    <row r="464">
      <c r="D464" s="69"/>
      <c r="E464" s="69"/>
    </row>
    <row r="465">
      <c r="D465" s="69"/>
      <c r="E465" s="69"/>
    </row>
    <row r="466">
      <c r="D466" s="69"/>
      <c r="E466" s="69"/>
    </row>
    <row r="467">
      <c r="D467" s="69"/>
      <c r="E467" s="69"/>
    </row>
    <row r="468">
      <c r="D468" s="69"/>
      <c r="E468" s="69"/>
    </row>
    <row r="469">
      <c r="D469" s="69"/>
      <c r="E469" s="69"/>
    </row>
    <row r="470">
      <c r="D470" s="69"/>
      <c r="E470" s="69"/>
    </row>
    <row r="471">
      <c r="D471" s="69"/>
      <c r="E471" s="69"/>
    </row>
    <row r="472">
      <c r="D472" s="69"/>
      <c r="E472" s="69"/>
    </row>
    <row r="473">
      <c r="D473" s="69"/>
      <c r="E473" s="69"/>
    </row>
    <row r="474">
      <c r="D474" s="69"/>
      <c r="E474" s="69"/>
    </row>
    <row r="475">
      <c r="D475" s="69"/>
      <c r="E475" s="69"/>
    </row>
    <row r="476">
      <c r="D476" s="69"/>
      <c r="E476" s="69"/>
    </row>
    <row r="477">
      <c r="D477" s="69"/>
      <c r="E477" s="69"/>
    </row>
    <row r="478">
      <c r="D478" s="69"/>
      <c r="E478" s="69"/>
    </row>
    <row r="479">
      <c r="D479" s="69"/>
      <c r="E479" s="69"/>
    </row>
    <row r="480">
      <c r="D480" s="69"/>
      <c r="E480" s="69"/>
    </row>
    <row r="481">
      <c r="D481" s="69"/>
      <c r="E481" s="69"/>
    </row>
    <row r="482">
      <c r="D482" s="69"/>
      <c r="E482" s="69"/>
    </row>
    <row r="483">
      <c r="D483" s="69"/>
      <c r="E483" s="69"/>
    </row>
    <row r="484">
      <c r="D484" s="69"/>
      <c r="E484" s="69"/>
    </row>
    <row r="485">
      <c r="D485" s="69"/>
      <c r="E485" s="69"/>
    </row>
    <row r="486">
      <c r="D486" s="69"/>
      <c r="E486" s="69"/>
    </row>
    <row r="487">
      <c r="D487" s="69"/>
      <c r="E487" s="69"/>
    </row>
    <row r="488">
      <c r="D488" s="69"/>
      <c r="E488" s="69"/>
    </row>
    <row r="489">
      <c r="D489" s="69"/>
      <c r="E489" s="69"/>
    </row>
    <row r="490">
      <c r="D490" s="69"/>
      <c r="E490" s="69"/>
    </row>
    <row r="491">
      <c r="D491" s="69"/>
      <c r="E491" s="69"/>
    </row>
    <row r="492">
      <c r="D492" s="69"/>
      <c r="E492" s="69"/>
    </row>
    <row r="493">
      <c r="D493" s="69"/>
      <c r="E493" s="69"/>
    </row>
    <row r="494">
      <c r="D494" s="69"/>
      <c r="E494" s="69"/>
    </row>
    <row r="495">
      <c r="D495" s="69"/>
      <c r="E495" s="69"/>
    </row>
    <row r="496">
      <c r="D496" s="69"/>
      <c r="E496" s="69"/>
    </row>
    <row r="497">
      <c r="D497" s="69"/>
      <c r="E497" s="69"/>
    </row>
    <row r="498">
      <c r="D498" s="69"/>
      <c r="E498" s="69"/>
    </row>
    <row r="499">
      <c r="D499" s="69"/>
      <c r="E499" s="69"/>
    </row>
    <row r="500">
      <c r="D500" s="69"/>
      <c r="E500" s="69"/>
    </row>
    <row r="501">
      <c r="D501" s="69"/>
      <c r="E501" s="69"/>
    </row>
    <row r="502">
      <c r="D502" s="69"/>
      <c r="E502" s="69"/>
    </row>
    <row r="503">
      <c r="D503" s="69"/>
      <c r="E503" s="69"/>
    </row>
    <row r="504">
      <c r="D504" s="69"/>
      <c r="E504" s="69"/>
    </row>
    <row r="505">
      <c r="D505" s="69"/>
      <c r="E505" s="69"/>
    </row>
    <row r="506">
      <c r="D506" s="69"/>
      <c r="E506" s="69"/>
    </row>
    <row r="507">
      <c r="D507" s="69"/>
      <c r="E507" s="69"/>
    </row>
    <row r="508">
      <c r="D508" s="69"/>
      <c r="E508" s="69"/>
    </row>
    <row r="509">
      <c r="D509" s="69"/>
      <c r="E509" s="69"/>
    </row>
    <row r="510">
      <c r="D510" s="69"/>
      <c r="E510" s="69"/>
    </row>
    <row r="511">
      <c r="D511" s="69"/>
      <c r="E511" s="69"/>
    </row>
    <row r="512">
      <c r="D512" s="69"/>
      <c r="E512" s="69"/>
    </row>
    <row r="513">
      <c r="D513" s="69"/>
      <c r="E513" s="69"/>
    </row>
    <row r="514">
      <c r="D514" s="69"/>
      <c r="E514" s="69"/>
    </row>
    <row r="515">
      <c r="D515" s="69"/>
      <c r="E515" s="69"/>
    </row>
    <row r="516">
      <c r="D516" s="69"/>
      <c r="E516" s="69"/>
    </row>
    <row r="517">
      <c r="D517" s="69"/>
      <c r="E517" s="69"/>
    </row>
    <row r="518">
      <c r="D518" s="69"/>
      <c r="E518" s="69"/>
    </row>
    <row r="519">
      <c r="D519" s="69"/>
      <c r="E519" s="69"/>
    </row>
    <row r="520">
      <c r="D520" s="69"/>
      <c r="E520" s="69"/>
    </row>
    <row r="521">
      <c r="D521" s="69"/>
      <c r="E521" s="69"/>
    </row>
    <row r="522">
      <c r="D522" s="69"/>
      <c r="E522" s="69"/>
    </row>
    <row r="523">
      <c r="D523" s="69"/>
      <c r="E523" s="69"/>
    </row>
    <row r="524">
      <c r="D524" s="69"/>
      <c r="E524" s="69"/>
    </row>
    <row r="525">
      <c r="D525" s="69"/>
      <c r="E525" s="69"/>
    </row>
    <row r="526">
      <c r="D526" s="69"/>
      <c r="E526" s="69"/>
    </row>
    <row r="527">
      <c r="D527" s="69"/>
      <c r="E527" s="69"/>
    </row>
    <row r="528">
      <c r="D528" s="69"/>
      <c r="E528" s="69"/>
    </row>
    <row r="529">
      <c r="D529" s="69"/>
      <c r="E529" s="69"/>
    </row>
    <row r="530">
      <c r="D530" s="69"/>
      <c r="E530" s="69"/>
    </row>
    <row r="531">
      <c r="D531" s="69"/>
      <c r="E531" s="69"/>
    </row>
    <row r="532">
      <c r="D532" s="69"/>
      <c r="E532" s="69"/>
    </row>
    <row r="533">
      <c r="D533" s="69"/>
      <c r="E533" s="69"/>
    </row>
    <row r="534">
      <c r="D534" s="69"/>
      <c r="E534" s="69"/>
    </row>
    <row r="535">
      <c r="D535" s="69"/>
      <c r="E535" s="69"/>
    </row>
    <row r="536">
      <c r="D536" s="69"/>
      <c r="E536" s="69"/>
    </row>
    <row r="537">
      <c r="D537" s="69"/>
      <c r="E537" s="69"/>
    </row>
    <row r="538">
      <c r="D538" s="69"/>
      <c r="E538" s="69"/>
    </row>
    <row r="539">
      <c r="D539" s="69"/>
      <c r="E539" s="69"/>
    </row>
    <row r="540">
      <c r="D540" s="69"/>
      <c r="E540" s="69"/>
    </row>
    <row r="541">
      <c r="D541" s="69"/>
      <c r="E541" s="69"/>
    </row>
    <row r="542">
      <c r="D542" s="69"/>
      <c r="E542" s="69"/>
    </row>
    <row r="543">
      <c r="D543" s="69"/>
      <c r="E543" s="69"/>
    </row>
    <row r="544">
      <c r="D544" s="69"/>
      <c r="E544" s="69"/>
    </row>
    <row r="545">
      <c r="D545" s="69"/>
      <c r="E545" s="69"/>
    </row>
    <row r="546">
      <c r="D546" s="69"/>
      <c r="E546" s="69"/>
    </row>
    <row r="547">
      <c r="D547" s="69"/>
      <c r="E547" s="69"/>
    </row>
    <row r="548">
      <c r="D548" s="69"/>
      <c r="E548" s="69"/>
    </row>
    <row r="549">
      <c r="D549" s="69"/>
      <c r="E549" s="69"/>
    </row>
    <row r="550">
      <c r="D550" s="69"/>
      <c r="E550" s="69"/>
    </row>
    <row r="551">
      <c r="D551" s="69"/>
      <c r="E551" s="69"/>
    </row>
    <row r="552">
      <c r="D552" s="69"/>
      <c r="E552" s="69"/>
    </row>
    <row r="553">
      <c r="D553" s="69"/>
      <c r="E553" s="69"/>
    </row>
    <row r="554">
      <c r="D554" s="69"/>
      <c r="E554" s="69"/>
    </row>
    <row r="555">
      <c r="D555" s="69"/>
      <c r="E555" s="69"/>
    </row>
    <row r="556">
      <c r="D556" s="69"/>
      <c r="E556" s="69"/>
    </row>
    <row r="557">
      <c r="D557" s="69"/>
      <c r="E557" s="69"/>
    </row>
    <row r="558">
      <c r="D558" s="69"/>
      <c r="E558" s="69"/>
    </row>
    <row r="559">
      <c r="D559" s="69"/>
      <c r="E559" s="69"/>
    </row>
    <row r="560">
      <c r="D560" s="69"/>
      <c r="E560" s="69"/>
    </row>
    <row r="561">
      <c r="D561" s="69"/>
      <c r="E561" s="69"/>
    </row>
    <row r="562">
      <c r="D562" s="69"/>
      <c r="E562" s="69"/>
    </row>
    <row r="563">
      <c r="D563" s="69"/>
      <c r="E563" s="69"/>
    </row>
    <row r="564">
      <c r="D564" s="69"/>
      <c r="E564" s="69"/>
    </row>
    <row r="565">
      <c r="D565" s="69"/>
      <c r="E565" s="69"/>
    </row>
    <row r="566">
      <c r="D566" s="69"/>
      <c r="E566" s="69"/>
    </row>
    <row r="567">
      <c r="D567" s="69"/>
      <c r="E567" s="69"/>
    </row>
    <row r="568">
      <c r="D568" s="69"/>
      <c r="E568" s="69"/>
    </row>
    <row r="569">
      <c r="D569" s="69"/>
      <c r="E569" s="69"/>
    </row>
    <row r="570">
      <c r="D570" s="69"/>
      <c r="E570" s="69"/>
    </row>
    <row r="571">
      <c r="D571" s="69"/>
      <c r="E571" s="69"/>
    </row>
    <row r="572">
      <c r="D572" s="69"/>
      <c r="E572" s="69"/>
    </row>
    <row r="573">
      <c r="D573" s="69"/>
      <c r="E573" s="69"/>
    </row>
    <row r="574">
      <c r="D574" s="69"/>
      <c r="E574" s="69"/>
    </row>
    <row r="575">
      <c r="D575" s="69"/>
      <c r="E575" s="69"/>
    </row>
    <row r="576">
      <c r="D576" s="69"/>
      <c r="E576" s="69"/>
    </row>
    <row r="577">
      <c r="D577" s="69"/>
      <c r="E577" s="69"/>
    </row>
    <row r="578">
      <c r="D578" s="69"/>
      <c r="E578" s="69"/>
    </row>
    <row r="579">
      <c r="D579" s="69"/>
      <c r="E579" s="69"/>
    </row>
    <row r="580">
      <c r="D580" s="69"/>
      <c r="E580" s="69"/>
    </row>
    <row r="581">
      <c r="D581" s="69"/>
      <c r="E581" s="69"/>
    </row>
    <row r="582">
      <c r="D582" s="69"/>
      <c r="E582" s="69"/>
    </row>
    <row r="583">
      <c r="D583" s="69"/>
      <c r="E583" s="69"/>
    </row>
    <row r="584">
      <c r="D584" s="69"/>
      <c r="E584" s="69"/>
    </row>
    <row r="585">
      <c r="D585" s="69"/>
      <c r="E585" s="69"/>
    </row>
    <row r="586">
      <c r="D586" s="69"/>
      <c r="E586" s="69"/>
    </row>
    <row r="587">
      <c r="D587" s="69"/>
      <c r="E587" s="69"/>
    </row>
    <row r="588">
      <c r="D588" s="69"/>
      <c r="E588" s="69"/>
    </row>
    <row r="589">
      <c r="D589" s="69"/>
      <c r="E589" s="69"/>
    </row>
    <row r="590">
      <c r="D590" s="69"/>
      <c r="E590" s="69"/>
    </row>
    <row r="591">
      <c r="D591" s="69"/>
      <c r="E591" s="69"/>
    </row>
    <row r="592">
      <c r="D592" s="69"/>
      <c r="E592" s="69"/>
    </row>
    <row r="593">
      <c r="D593" s="69"/>
      <c r="E593" s="69"/>
    </row>
    <row r="594">
      <c r="D594" s="69"/>
      <c r="E594" s="69"/>
    </row>
    <row r="595">
      <c r="D595" s="69"/>
      <c r="E595" s="69"/>
    </row>
    <row r="596">
      <c r="D596" s="69"/>
      <c r="E596" s="69"/>
    </row>
    <row r="597">
      <c r="D597" s="69"/>
      <c r="E597" s="69"/>
    </row>
    <row r="598">
      <c r="D598" s="69"/>
      <c r="E598" s="69"/>
    </row>
    <row r="599">
      <c r="D599" s="69"/>
      <c r="E599" s="69"/>
    </row>
    <row r="600">
      <c r="D600" s="69"/>
      <c r="E600" s="69"/>
    </row>
    <row r="601">
      <c r="D601" s="69"/>
      <c r="E601" s="69"/>
    </row>
    <row r="602">
      <c r="D602" s="69"/>
      <c r="E602" s="69"/>
    </row>
    <row r="603">
      <c r="D603" s="69"/>
      <c r="E603" s="69"/>
    </row>
    <row r="604">
      <c r="D604" s="69"/>
      <c r="E604" s="69"/>
    </row>
    <row r="605">
      <c r="D605" s="69"/>
      <c r="E605" s="69"/>
    </row>
    <row r="606">
      <c r="D606" s="69"/>
      <c r="E606" s="69"/>
    </row>
    <row r="607">
      <c r="D607" s="69"/>
      <c r="E607" s="69"/>
    </row>
    <row r="608">
      <c r="D608" s="69"/>
      <c r="E608" s="69"/>
    </row>
    <row r="609">
      <c r="D609" s="69"/>
      <c r="E609" s="69"/>
    </row>
    <row r="610">
      <c r="D610" s="69"/>
      <c r="E610" s="69"/>
    </row>
    <row r="611">
      <c r="D611" s="69"/>
      <c r="E611" s="69"/>
    </row>
    <row r="612">
      <c r="D612" s="69"/>
      <c r="E612" s="69"/>
    </row>
    <row r="613">
      <c r="D613" s="69"/>
      <c r="E613" s="69"/>
    </row>
    <row r="614">
      <c r="D614" s="69"/>
      <c r="E614" s="69"/>
    </row>
    <row r="615">
      <c r="D615" s="69"/>
      <c r="E615" s="69"/>
    </row>
    <row r="616">
      <c r="D616" s="69"/>
      <c r="E616" s="69"/>
    </row>
    <row r="617">
      <c r="D617" s="69"/>
      <c r="E617" s="69"/>
    </row>
    <row r="618">
      <c r="D618" s="69"/>
      <c r="E618" s="69"/>
    </row>
    <row r="619">
      <c r="D619" s="69"/>
      <c r="E619" s="69"/>
    </row>
    <row r="620">
      <c r="D620" s="69"/>
      <c r="E620" s="69"/>
    </row>
    <row r="621">
      <c r="D621" s="69"/>
      <c r="E621" s="69"/>
    </row>
    <row r="622">
      <c r="D622" s="69"/>
      <c r="E622" s="69"/>
    </row>
    <row r="623">
      <c r="D623" s="69"/>
      <c r="E623" s="69"/>
    </row>
    <row r="624">
      <c r="D624" s="69"/>
      <c r="E624" s="69"/>
    </row>
    <row r="625">
      <c r="D625" s="69"/>
      <c r="E625" s="69"/>
    </row>
    <row r="626">
      <c r="D626" s="69"/>
      <c r="E626" s="69"/>
    </row>
    <row r="627">
      <c r="D627" s="69"/>
      <c r="E627" s="69"/>
    </row>
    <row r="628">
      <c r="D628" s="69"/>
      <c r="E628" s="69"/>
    </row>
    <row r="629">
      <c r="D629" s="69"/>
      <c r="E629" s="69"/>
    </row>
    <row r="630">
      <c r="D630" s="69"/>
      <c r="E630" s="69"/>
    </row>
    <row r="631">
      <c r="D631" s="69"/>
      <c r="E631" s="69"/>
    </row>
    <row r="632">
      <c r="D632" s="69"/>
      <c r="E632" s="69"/>
    </row>
    <row r="633">
      <c r="D633" s="69"/>
      <c r="E633" s="69"/>
    </row>
    <row r="634">
      <c r="D634" s="69"/>
      <c r="E634" s="69"/>
    </row>
    <row r="635">
      <c r="D635" s="69"/>
      <c r="E635" s="69"/>
    </row>
    <row r="636">
      <c r="D636" s="69"/>
      <c r="E636" s="69"/>
    </row>
    <row r="637">
      <c r="D637" s="69"/>
      <c r="E637" s="69"/>
    </row>
    <row r="638">
      <c r="D638" s="69"/>
      <c r="E638" s="69"/>
    </row>
    <row r="639">
      <c r="D639" s="69"/>
      <c r="E639" s="69"/>
    </row>
    <row r="640">
      <c r="D640" s="69"/>
      <c r="E640" s="69"/>
    </row>
    <row r="641">
      <c r="D641" s="69"/>
      <c r="E641" s="69"/>
    </row>
    <row r="642">
      <c r="D642" s="69"/>
      <c r="E642" s="69"/>
    </row>
    <row r="643">
      <c r="D643" s="69"/>
      <c r="E643" s="69"/>
    </row>
    <row r="644">
      <c r="D644" s="69"/>
      <c r="E644" s="69"/>
    </row>
    <row r="645">
      <c r="D645" s="69"/>
      <c r="E645" s="69"/>
    </row>
    <row r="646">
      <c r="D646" s="69"/>
      <c r="E646" s="69"/>
    </row>
    <row r="647">
      <c r="D647" s="69"/>
      <c r="E647" s="69"/>
    </row>
    <row r="648">
      <c r="D648" s="69"/>
      <c r="E648" s="69"/>
    </row>
    <row r="649">
      <c r="D649" s="69"/>
      <c r="E649" s="69"/>
    </row>
    <row r="650">
      <c r="D650" s="69"/>
      <c r="E650" s="69"/>
    </row>
    <row r="651">
      <c r="D651" s="69"/>
      <c r="E651" s="69"/>
    </row>
    <row r="652">
      <c r="D652" s="69"/>
      <c r="E652" s="69"/>
    </row>
    <row r="653">
      <c r="D653" s="69"/>
      <c r="E653" s="69"/>
    </row>
    <row r="654">
      <c r="D654" s="69"/>
      <c r="E654" s="69"/>
    </row>
    <row r="655">
      <c r="D655" s="69"/>
      <c r="E655" s="69"/>
    </row>
    <row r="656">
      <c r="D656" s="69"/>
      <c r="E656" s="69"/>
    </row>
    <row r="657">
      <c r="D657" s="69"/>
      <c r="E657" s="69"/>
    </row>
    <row r="658">
      <c r="D658" s="69"/>
      <c r="E658" s="69"/>
    </row>
    <row r="659">
      <c r="D659" s="69"/>
      <c r="E659" s="69"/>
    </row>
    <row r="660">
      <c r="D660" s="69"/>
      <c r="E660" s="69"/>
    </row>
    <row r="661">
      <c r="D661" s="69"/>
      <c r="E661" s="69"/>
    </row>
    <row r="662">
      <c r="D662" s="69"/>
      <c r="E662" s="69"/>
    </row>
    <row r="663">
      <c r="D663" s="69"/>
      <c r="E663" s="69"/>
    </row>
    <row r="664">
      <c r="D664" s="69"/>
      <c r="E664" s="69"/>
    </row>
    <row r="665">
      <c r="D665" s="69"/>
      <c r="E665" s="69"/>
    </row>
    <row r="666">
      <c r="D666" s="69"/>
      <c r="E666" s="69"/>
    </row>
    <row r="667">
      <c r="D667" s="69"/>
      <c r="E667" s="69"/>
    </row>
    <row r="668">
      <c r="D668" s="69"/>
      <c r="E668" s="69"/>
    </row>
    <row r="669">
      <c r="D669" s="69"/>
      <c r="E669" s="69"/>
    </row>
    <row r="670">
      <c r="D670" s="69"/>
      <c r="E670" s="69"/>
    </row>
    <row r="671">
      <c r="D671" s="69"/>
      <c r="E671" s="69"/>
    </row>
    <row r="672">
      <c r="D672" s="69"/>
      <c r="E672" s="69"/>
    </row>
    <row r="673">
      <c r="D673" s="69"/>
      <c r="E673" s="69"/>
    </row>
    <row r="674">
      <c r="D674" s="69"/>
      <c r="E674" s="69"/>
    </row>
    <row r="675">
      <c r="D675" s="69"/>
      <c r="E675" s="69"/>
    </row>
    <row r="676">
      <c r="D676" s="69"/>
      <c r="E676" s="69"/>
    </row>
    <row r="677">
      <c r="D677" s="69"/>
      <c r="E677" s="69"/>
    </row>
    <row r="678">
      <c r="D678" s="69"/>
      <c r="E678" s="69"/>
    </row>
    <row r="679">
      <c r="D679" s="69"/>
      <c r="E679" s="69"/>
    </row>
    <row r="680">
      <c r="D680" s="69"/>
      <c r="E680" s="69"/>
    </row>
    <row r="681">
      <c r="D681" s="69"/>
      <c r="E681" s="69"/>
    </row>
    <row r="682">
      <c r="D682" s="69"/>
      <c r="E682" s="69"/>
    </row>
    <row r="683">
      <c r="D683" s="69"/>
      <c r="E683" s="69"/>
    </row>
    <row r="684">
      <c r="D684" s="69"/>
      <c r="E684" s="69"/>
    </row>
    <row r="685">
      <c r="D685" s="69"/>
      <c r="E685" s="69"/>
    </row>
    <row r="686">
      <c r="D686" s="69"/>
      <c r="E686" s="69"/>
    </row>
    <row r="687">
      <c r="D687" s="69"/>
      <c r="E687" s="69"/>
    </row>
    <row r="688">
      <c r="D688" s="69"/>
      <c r="E688" s="69"/>
    </row>
    <row r="689">
      <c r="D689" s="69"/>
      <c r="E689" s="69"/>
    </row>
    <row r="690">
      <c r="D690" s="69"/>
      <c r="E690" s="69"/>
    </row>
    <row r="691">
      <c r="D691" s="69"/>
      <c r="E691" s="69"/>
    </row>
    <row r="692">
      <c r="D692" s="69"/>
      <c r="E692" s="69"/>
    </row>
    <row r="693">
      <c r="D693" s="69"/>
      <c r="E693" s="69"/>
    </row>
    <row r="694">
      <c r="D694" s="69"/>
      <c r="E694" s="69"/>
    </row>
    <row r="695">
      <c r="D695" s="69"/>
      <c r="E695" s="69"/>
    </row>
    <row r="696">
      <c r="D696" s="69"/>
      <c r="E696" s="69"/>
    </row>
    <row r="697">
      <c r="D697" s="69"/>
      <c r="E697" s="69"/>
    </row>
    <row r="698">
      <c r="D698" s="69"/>
      <c r="E698" s="69"/>
    </row>
    <row r="699">
      <c r="D699" s="69"/>
      <c r="E699" s="69"/>
    </row>
    <row r="700">
      <c r="D700" s="69"/>
      <c r="E700" s="69"/>
    </row>
    <row r="701">
      <c r="D701" s="69"/>
      <c r="E701" s="69"/>
    </row>
    <row r="702">
      <c r="D702" s="69"/>
      <c r="E702" s="69"/>
    </row>
    <row r="703">
      <c r="D703" s="69"/>
      <c r="E703" s="69"/>
    </row>
    <row r="704">
      <c r="D704" s="69"/>
      <c r="E704" s="69"/>
    </row>
    <row r="705">
      <c r="D705" s="69"/>
      <c r="E705" s="69"/>
    </row>
    <row r="706">
      <c r="D706" s="69"/>
      <c r="E706" s="69"/>
    </row>
    <row r="707">
      <c r="D707" s="69"/>
      <c r="E707" s="69"/>
    </row>
    <row r="708">
      <c r="D708" s="69"/>
      <c r="E708" s="69"/>
    </row>
    <row r="709">
      <c r="D709" s="69"/>
      <c r="E709" s="69"/>
    </row>
    <row r="710">
      <c r="D710" s="69"/>
      <c r="E710" s="69"/>
    </row>
    <row r="711">
      <c r="D711" s="69"/>
      <c r="E711" s="69"/>
    </row>
    <row r="712">
      <c r="D712" s="69"/>
      <c r="E712" s="69"/>
    </row>
    <row r="713">
      <c r="D713" s="69"/>
      <c r="E713" s="69"/>
    </row>
    <row r="714">
      <c r="D714" s="69"/>
      <c r="E714" s="69"/>
    </row>
    <row r="715">
      <c r="D715" s="69"/>
      <c r="E715" s="69"/>
    </row>
    <row r="716">
      <c r="D716" s="69"/>
      <c r="E716" s="69"/>
    </row>
    <row r="717">
      <c r="D717" s="69"/>
      <c r="E717" s="69"/>
    </row>
    <row r="718">
      <c r="D718" s="69"/>
      <c r="E718" s="69"/>
    </row>
    <row r="719">
      <c r="D719" s="69"/>
      <c r="E719" s="69"/>
    </row>
    <row r="720">
      <c r="D720" s="69"/>
      <c r="E720" s="69"/>
    </row>
    <row r="721">
      <c r="D721" s="69"/>
      <c r="E721" s="69"/>
    </row>
    <row r="722">
      <c r="D722" s="69"/>
      <c r="E722" s="69"/>
    </row>
    <row r="723">
      <c r="D723" s="69"/>
      <c r="E723" s="69"/>
    </row>
    <row r="724">
      <c r="D724" s="69"/>
      <c r="E724" s="69"/>
    </row>
    <row r="725">
      <c r="D725" s="69"/>
      <c r="E725" s="69"/>
    </row>
    <row r="726">
      <c r="D726" s="69"/>
      <c r="E726" s="69"/>
    </row>
    <row r="727">
      <c r="D727" s="69"/>
      <c r="E727" s="69"/>
    </row>
    <row r="728">
      <c r="D728" s="69"/>
      <c r="E728" s="69"/>
    </row>
    <row r="729">
      <c r="D729" s="69"/>
      <c r="E729" s="69"/>
    </row>
    <row r="730">
      <c r="D730" s="69"/>
      <c r="E730" s="69"/>
    </row>
    <row r="731">
      <c r="D731" s="69"/>
      <c r="E731" s="69"/>
    </row>
    <row r="732">
      <c r="D732" s="69"/>
      <c r="E732" s="69"/>
    </row>
    <row r="733">
      <c r="D733" s="69"/>
      <c r="E733" s="69"/>
    </row>
    <row r="734">
      <c r="D734" s="69"/>
      <c r="E734" s="69"/>
    </row>
    <row r="735">
      <c r="D735" s="69"/>
      <c r="E735" s="69"/>
    </row>
    <row r="736">
      <c r="D736" s="69"/>
      <c r="E736" s="69"/>
    </row>
    <row r="737">
      <c r="D737" s="69"/>
      <c r="E737" s="69"/>
    </row>
    <row r="738">
      <c r="D738" s="69"/>
      <c r="E738" s="69"/>
    </row>
    <row r="739">
      <c r="D739" s="69"/>
      <c r="E739" s="69"/>
    </row>
    <row r="740">
      <c r="D740" s="69"/>
      <c r="E740" s="69"/>
    </row>
    <row r="741">
      <c r="D741" s="69"/>
      <c r="E741" s="69"/>
    </row>
    <row r="742">
      <c r="D742" s="69"/>
      <c r="E742" s="69"/>
    </row>
    <row r="743">
      <c r="D743" s="69"/>
      <c r="E743" s="69"/>
    </row>
    <row r="744">
      <c r="D744" s="69"/>
      <c r="E744" s="69"/>
    </row>
    <row r="745">
      <c r="D745" s="69"/>
      <c r="E745" s="69"/>
    </row>
    <row r="746">
      <c r="D746" s="69"/>
      <c r="E746" s="69"/>
    </row>
    <row r="747">
      <c r="D747" s="69"/>
      <c r="E747" s="69"/>
    </row>
    <row r="748">
      <c r="D748" s="69"/>
      <c r="E748" s="69"/>
    </row>
    <row r="749">
      <c r="D749" s="69"/>
      <c r="E749" s="69"/>
    </row>
    <row r="750">
      <c r="D750" s="69"/>
      <c r="E750" s="69"/>
    </row>
    <row r="751">
      <c r="D751" s="69"/>
      <c r="E751" s="69"/>
    </row>
    <row r="752">
      <c r="D752" s="69"/>
      <c r="E752" s="69"/>
    </row>
    <row r="753">
      <c r="D753" s="69"/>
      <c r="E753" s="69"/>
    </row>
    <row r="754">
      <c r="D754" s="69"/>
      <c r="E754" s="69"/>
    </row>
    <row r="755">
      <c r="D755" s="69"/>
      <c r="E755" s="69"/>
    </row>
    <row r="756">
      <c r="D756" s="69"/>
      <c r="E756" s="69"/>
    </row>
    <row r="757">
      <c r="D757" s="69"/>
      <c r="E757" s="69"/>
    </row>
    <row r="758">
      <c r="D758" s="69"/>
      <c r="E758" s="69"/>
    </row>
    <row r="759">
      <c r="D759" s="69"/>
      <c r="E759" s="69"/>
    </row>
    <row r="760">
      <c r="D760" s="69"/>
      <c r="E760" s="69"/>
    </row>
    <row r="761">
      <c r="D761" s="69"/>
      <c r="E761" s="69"/>
    </row>
    <row r="762">
      <c r="D762" s="69"/>
      <c r="E762" s="69"/>
    </row>
    <row r="763">
      <c r="D763" s="69"/>
      <c r="E763" s="69"/>
    </row>
    <row r="764">
      <c r="D764" s="69"/>
      <c r="E764" s="69"/>
    </row>
    <row r="765">
      <c r="D765" s="69"/>
      <c r="E765" s="69"/>
    </row>
    <row r="766">
      <c r="D766" s="69"/>
      <c r="E766" s="69"/>
    </row>
    <row r="767">
      <c r="D767" s="69"/>
      <c r="E767" s="69"/>
    </row>
    <row r="768">
      <c r="D768" s="69"/>
      <c r="E768" s="69"/>
    </row>
    <row r="769">
      <c r="D769" s="69"/>
      <c r="E769" s="69"/>
    </row>
    <row r="770">
      <c r="D770" s="69"/>
      <c r="E770" s="69"/>
    </row>
    <row r="771">
      <c r="D771" s="69"/>
      <c r="E771" s="69"/>
    </row>
    <row r="772">
      <c r="D772" s="69"/>
      <c r="E772" s="69"/>
    </row>
    <row r="773">
      <c r="D773" s="69"/>
      <c r="E773" s="69"/>
    </row>
    <row r="774">
      <c r="D774" s="69"/>
      <c r="E774" s="69"/>
    </row>
    <row r="775">
      <c r="D775" s="69"/>
      <c r="E775" s="69"/>
    </row>
    <row r="776">
      <c r="D776" s="69"/>
      <c r="E776" s="69"/>
    </row>
    <row r="777">
      <c r="D777" s="69"/>
      <c r="E777" s="69"/>
    </row>
    <row r="778">
      <c r="D778" s="69"/>
      <c r="E778" s="69"/>
    </row>
    <row r="779">
      <c r="D779" s="69"/>
      <c r="E779" s="69"/>
    </row>
    <row r="780">
      <c r="D780" s="69"/>
      <c r="E780" s="69"/>
    </row>
    <row r="781">
      <c r="D781" s="69"/>
      <c r="E781" s="69"/>
    </row>
    <row r="782">
      <c r="D782" s="69"/>
      <c r="E782" s="69"/>
    </row>
    <row r="783">
      <c r="D783" s="69"/>
      <c r="E783" s="69"/>
    </row>
    <row r="784">
      <c r="D784" s="69"/>
      <c r="E784" s="69"/>
    </row>
    <row r="785">
      <c r="D785" s="69"/>
      <c r="E785" s="69"/>
    </row>
    <row r="786">
      <c r="D786" s="69"/>
      <c r="E786" s="69"/>
    </row>
    <row r="787">
      <c r="D787" s="69"/>
      <c r="E787" s="69"/>
    </row>
    <row r="788">
      <c r="D788" s="69"/>
      <c r="E788" s="69"/>
    </row>
    <row r="789">
      <c r="D789" s="69"/>
      <c r="E789" s="69"/>
    </row>
    <row r="790">
      <c r="D790" s="69"/>
      <c r="E790" s="69"/>
    </row>
    <row r="791">
      <c r="D791" s="69"/>
      <c r="E791" s="69"/>
    </row>
    <row r="792">
      <c r="D792" s="69"/>
      <c r="E792" s="69"/>
    </row>
    <row r="793">
      <c r="D793" s="69"/>
      <c r="E793" s="69"/>
    </row>
    <row r="794">
      <c r="D794" s="69"/>
      <c r="E794" s="69"/>
    </row>
    <row r="795">
      <c r="D795" s="69"/>
      <c r="E795" s="69"/>
    </row>
    <row r="796">
      <c r="D796" s="69"/>
      <c r="E796" s="69"/>
    </row>
    <row r="797">
      <c r="D797" s="69"/>
      <c r="E797" s="69"/>
    </row>
    <row r="798">
      <c r="D798" s="69"/>
      <c r="E798" s="69"/>
    </row>
    <row r="799">
      <c r="D799" s="69"/>
      <c r="E799" s="69"/>
    </row>
    <row r="800">
      <c r="D800" s="69"/>
      <c r="E800" s="69"/>
    </row>
    <row r="801">
      <c r="D801" s="69"/>
      <c r="E801" s="69"/>
    </row>
    <row r="802">
      <c r="D802" s="69"/>
      <c r="E802" s="69"/>
    </row>
    <row r="803">
      <c r="D803" s="69"/>
      <c r="E803" s="69"/>
    </row>
    <row r="804">
      <c r="D804" s="69"/>
      <c r="E804" s="69"/>
    </row>
    <row r="805">
      <c r="D805" s="69"/>
      <c r="E805" s="69"/>
    </row>
    <row r="806">
      <c r="D806" s="69"/>
      <c r="E806" s="69"/>
    </row>
    <row r="807">
      <c r="D807" s="69"/>
      <c r="E807" s="69"/>
    </row>
    <row r="808">
      <c r="D808" s="69"/>
      <c r="E808" s="69"/>
    </row>
    <row r="809">
      <c r="D809" s="69"/>
      <c r="E809" s="69"/>
    </row>
    <row r="810">
      <c r="D810" s="69"/>
      <c r="E810" s="69"/>
    </row>
    <row r="811">
      <c r="D811" s="69"/>
      <c r="E811" s="69"/>
    </row>
    <row r="812">
      <c r="D812" s="69"/>
      <c r="E812" s="69"/>
    </row>
    <row r="813">
      <c r="D813" s="69"/>
      <c r="E813" s="69"/>
    </row>
    <row r="814">
      <c r="D814" s="69"/>
      <c r="E814" s="69"/>
    </row>
    <row r="815">
      <c r="D815" s="69"/>
      <c r="E815" s="69"/>
    </row>
    <row r="816">
      <c r="D816" s="69"/>
      <c r="E816" s="69"/>
    </row>
    <row r="817">
      <c r="D817" s="69"/>
      <c r="E817" s="69"/>
    </row>
    <row r="818">
      <c r="D818" s="69"/>
      <c r="E818" s="69"/>
    </row>
    <row r="819">
      <c r="D819" s="69"/>
      <c r="E819" s="69"/>
    </row>
    <row r="820">
      <c r="D820" s="69"/>
      <c r="E820" s="69"/>
    </row>
    <row r="821">
      <c r="D821" s="69"/>
      <c r="E821" s="69"/>
    </row>
    <row r="822">
      <c r="D822" s="69"/>
      <c r="E822" s="69"/>
    </row>
    <row r="823">
      <c r="D823" s="69"/>
      <c r="E823" s="69"/>
    </row>
    <row r="824">
      <c r="D824" s="69"/>
      <c r="E824" s="69"/>
    </row>
    <row r="825">
      <c r="D825" s="69"/>
      <c r="E825" s="69"/>
    </row>
    <row r="826">
      <c r="D826" s="69"/>
      <c r="E826" s="69"/>
    </row>
    <row r="827">
      <c r="D827" s="69"/>
      <c r="E827" s="69"/>
    </row>
    <row r="828">
      <c r="D828" s="69"/>
      <c r="E828" s="69"/>
    </row>
    <row r="829">
      <c r="D829" s="69"/>
      <c r="E829" s="69"/>
    </row>
    <row r="830">
      <c r="D830" s="69"/>
      <c r="E830" s="69"/>
    </row>
    <row r="831">
      <c r="D831" s="69"/>
      <c r="E831" s="69"/>
    </row>
    <row r="832">
      <c r="D832" s="69"/>
      <c r="E832" s="69"/>
    </row>
    <row r="833">
      <c r="D833" s="69"/>
      <c r="E833" s="69"/>
    </row>
    <row r="834">
      <c r="D834" s="69"/>
      <c r="E834" s="69"/>
    </row>
    <row r="835">
      <c r="D835" s="69"/>
      <c r="E835" s="69"/>
    </row>
    <row r="836">
      <c r="D836" s="69"/>
      <c r="E836" s="69"/>
    </row>
    <row r="837">
      <c r="D837" s="69"/>
      <c r="E837" s="69"/>
    </row>
    <row r="838">
      <c r="D838" s="69"/>
      <c r="E838" s="69"/>
    </row>
    <row r="839">
      <c r="D839" s="69"/>
      <c r="E839" s="69"/>
    </row>
    <row r="840">
      <c r="D840" s="69"/>
      <c r="E840" s="69"/>
    </row>
    <row r="841">
      <c r="D841" s="69"/>
      <c r="E841" s="69"/>
    </row>
    <row r="842">
      <c r="D842" s="69"/>
      <c r="E842" s="69"/>
    </row>
    <row r="843">
      <c r="D843" s="69"/>
      <c r="E843" s="69"/>
    </row>
    <row r="844">
      <c r="D844" s="69"/>
      <c r="E844" s="69"/>
    </row>
    <row r="845">
      <c r="D845" s="69"/>
      <c r="E845" s="69"/>
    </row>
    <row r="846">
      <c r="D846" s="69"/>
      <c r="E846" s="69"/>
    </row>
    <row r="847">
      <c r="D847" s="69"/>
      <c r="E847" s="69"/>
    </row>
    <row r="848">
      <c r="D848" s="69"/>
      <c r="E848" s="69"/>
    </row>
    <row r="849">
      <c r="D849" s="69"/>
      <c r="E849" s="69"/>
    </row>
    <row r="850">
      <c r="D850" s="69"/>
      <c r="E850" s="69"/>
    </row>
    <row r="851">
      <c r="D851" s="69"/>
      <c r="E851" s="69"/>
    </row>
    <row r="852">
      <c r="D852" s="69"/>
      <c r="E852" s="69"/>
    </row>
    <row r="853">
      <c r="D853" s="69"/>
      <c r="E853" s="69"/>
    </row>
    <row r="854">
      <c r="D854" s="69"/>
      <c r="E854" s="69"/>
    </row>
    <row r="855">
      <c r="D855" s="69"/>
      <c r="E855" s="69"/>
    </row>
    <row r="856">
      <c r="D856" s="69"/>
      <c r="E856" s="69"/>
    </row>
    <row r="857">
      <c r="D857" s="69"/>
      <c r="E857" s="69"/>
    </row>
    <row r="858">
      <c r="D858" s="69"/>
      <c r="E858" s="69"/>
    </row>
    <row r="859">
      <c r="D859" s="69"/>
      <c r="E859" s="69"/>
    </row>
    <row r="860">
      <c r="D860" s="69"/>
      <c r="E860" s="69"/>
    </row>
    <row r="861">
      <c r="D861" s="69"/>
      <c r="E861" s="69"/>
    </row>
    <row r="862">
      <c r="D862" s="69"/>
      <c r="E862" s="69"/>
    </row>
    <row r="863">
      <c r="D863" s="69"/>
      <c r="E863" s="69"/>
    </row>
    <row r="864">
      <c r="D864" s="69"/>
      <c r="E864" s="69"/>
    </row>
    <row r="865">
      <c r="D865" s="69"/>
      <c r="E865" s="69"/>
    </row>
    <row r="866">
      <c r="D866" s="69"/>
      <c r="E866" s="69"/>
    </row>
    <row r="867">
      <c r="D867" s="69"/>
      <c r="E867" s="69"/>
    </row>
    <row r="868">
      <c r="D868" s="69"/>
      <c r="E868" s="69"/>
    </row>
    <row r="869">
      <c r="D869" s="69"/>
      <c r="E869" s="69"/>
    </row>
    <row r="870">
      <c r="D870" s="69"/>
      <c r="E870" s="69"/>
    </row>
    <row r="871">
      <c r="D871" s="69"/>
      <c r="E871" s="69"/>
    </row>
    <row r="872">
      <c r="D872" s="69"/>
      <c r="E872" s="69"/>
    </row>
    <row r="873">
      <c r="D873" s="69"/>
      <c r="E873" s="69"/>
    </row>
    <row r="874">
      <c r="D874" s="69"/>
      <c r="E874" s="69"/>
    </row>
    <row r="875">
      <c r="D875" s="69"/>
      <c r="E875" s="69"/>
    </row>
    <row r="876">
      <c r="D876" s="69"/>
      <c r="E876" s="69"/>
    </row>
    <row r="877">
      <c r="D877" s="69"/>
      <c r="E877" s="69"/>
    </row>
    <row r="878">
      <c r="D878" s="69"/>
      <c r="E878" s="69"/>
    </row>
    <row r="879">
      <c r="D879" s="69"/>
      <c r="E879" s="69"/>
    </row>
    <row r="880">
      <c r="D880" s="69"/>
      <c r="E880" s="69"/>
    </row>
    <row r="881">
      <c r="D881" s="69"/>
      <c r="E881" s="69"/>
    </row>
    <row r="882">
      <c r="D882" s="69"/>
      <c r="E882" s="69"/>
    </row>
    <row r="883">
      <c r="D883" s="69"/>
      <c r="E883" s="69"/>
    </row>
    <row r="884">
      <c r="D884" s="69"/>
      <c r="E884" s="69"/>
    </row>
    <row r="885">
      <c r="D885" s="69"/>
      <c r="E885" s="69"/>
    </row>
    <row r="886">
      <c r="D886" s="69"/>
      <c r="E886" s="69"/>
    </row>
    <row r="887">
      <c r="D887" s="69"/>
      <c r="E887" s="69"/>
    </row>
    <row r="888">
      <c r="D888" s="69"/>
      <c r="E888" s="69"/>
    </row>
    <row r="889">
      <c r="D889" s="69"/>
      <c r="E889" s="69"/>
    </row>
    <row r="890">
      <c r="D890" s="69"/>
      <c r="E890" s="69"/>
    </row>
    <row r="891">
      <c r="D891" s="69"/>
      <c r="E891" s="69"/>
    </row>
    <row r="892">
      <c r="D892" s="69"/>
      <c r="E892" s="69"/>
    </row>
    <row r="893">
      <c r="D893" s="69"/>
      <c r="E893" s="69"/>
    </row>
    <row r="894">
      <c r="D894" s="69"/>
      <c r="E894" s="69"/>
    </row>
    <row r="895">
      <c r="D895" s="69"/>
      <c r="E895" s="69"/>
    </row>
    <row r="896">
      <c r="D896" s="69"/>
      <c r="E896" s="69"/>
    </row>
    <row r="897">
      <c r="D897" s="69"/>
      <c r="E897" s="69"/>
    </row>
    <row r="898">
      <c r="D898" s="69"/>
      <c r="E898" s="69"/>
    </row>
    <row r="899">
      <c r="D899" s="69"/>
      <c r="E899" s="69"/>
    </row>
    <row r="900">
      <c r="D900" s="69"/>
      <c r="E900" s="69"/>
    </row>
    <row r="901">
      <c r="D901" s="69"/>
      <c r="E901" s="69"/>
    </row>
    <row r="902">
      <c r="D902" s="69"/>
      <c r="E902" s="69"/>
    </row>
    <row r="903">
      <c r="D903" s="69"/>
      <c r="E903" s="69"/>
    </row>
    <row r="904">
      <c r="D904" s="69"/>
      <c r="E904" s="69"/>
    </row>
    <row r="905">
      <c r="D905" s="69"/>
      <c r="E905" s="69"/>
    </row>
    <row r="906">
      <c r="D906" s="69"/>
      <c r="E906" s="69"/>
    </row>
    <row r="907">
      <c r="D907" s="69"/>
      <c r="E907" s="69"/>
    </row>
    <row r="908">
      <c r="D908" s="69"/>
      <c r="E908" s="69"/>
    </row>
    <row r="909">
      <c r="D909" s="69"/>
      <c r="E909" s="69"/>
    </row>
    <row r="910">
      <c r="D910" s="69"/>
      <c r="E910" s="69"/>
    </row>
    <row r="911">
      <c r="D911" s="69"/>
      <c r="E911" s="69"/>
    </row>
    <row r="912">
      <c r="D912" s="69"/>
      <c r="E912" s="69"/>
    </row>
    <row r="913">
      <c r="D913" s="69"/>
      <c r="E913" s="69"/>
    </row>
    <row r="914">
      <c r="D914" s="69"/>
      <c r="E914" s="69"/>
    </row>
    <row r="915">
      <c r="D915" s="69"/>
      <c r="E915" s="69"/>
    </row>
    <row r="916">
      <c r="D916" s="69"/>
      <c r="E916" s="69"/>
    </row>
    <row r="917">
      <c r="D917" s="69"/>
      <c r="E917" s="69"/>
    </row>
    <row r="918">
      <c r="D918" s="69"/>
      <c r="E918" s="69"/>
    </row>
    <row r="919">
      <c r="D919" s="69"/>
      <c r="E919" s="69"/>
    </row>
    <row r="920">
      <c r="D920" s="69"/>
      <c r="E920" s="69"/>
    </row>
    <row r="921">
      <c r="D921" s="69"/>
      <c r="E921" s="69"/>
    </row>
    <row r="922">
      <c r="D922" s="69"/>
      <c r="E922" s="69"/>
    </row>
    <row r="923">
      <c r="D923" s="69"/>
      <c r="E923" s="69"/>
    </row>
    <row r="924">
      <c r="D924" s="69"/>
      <c r="E924" s="69"/>
    </row>
    <row r="925">
      <c r="D925" s="69"/>
      <c r="E925" s="69"/>
    </row>
    <row r="926">
      <c r="D926" s="69"/>
      <c r="E926" s="69"/>
    </row>
    <row r="927">
      <c r="D927" s="69"/>
      <c r="E927" s="69"/>
    </row>
    <row r="928">
      <c r="D928" s="69"/>
      <c r="E928" s="69"/>
    </row>
    <row r="929">
      <c r="D929" s="69"/>
      <c r="E929" s="69"/>
    </row>
    <row r="930">
      <c r="D930" s="69"/>
      <c r="E930" s="69"/>
    </row>
    <row r="931">
      <c r="D931" s="69"/>
      <c r="E931" s="69"/>
    </row>
    <row r="932">
      <c r="D932" s="69"/>
      <c r="E932" s="69"/>
    </row>
    <row r="933">
      <c r="D933" s="69"/>
      <c r="E933" s="69"/>
    </row>
    <row r="934">
      <c r="D934" s="69"/>
      <c r="E934" s="69"/>
    </row>
    <row r="935">
      <c r="D935" s="69"/>
      <c r="E935" s="69"/>
    </row>
    <row r="936">
      <c r="D936" s="69"/>
      <c r="E936" s="69"/>
    </row>
    <row r="937">
      <c r="D937" s="69"/>
      <c r="E937" s="69"/>
    </row>
    <row r="938">
      <c r="D938" s="69"/>
      <c r="E938" s="69"/>
    </row>
    <row r="939">
      <c r="D939" s="69"/>
      <c r="E939" s="69"/>
    </row>
    <row r="940">
      <c r="D940" s="69"/>
      <c r="E940" s="69"/>
    </row>
    <row r="941">
      <c r="D941" s="69"/>
      <c r="E941" s="69"/>
    </row>
    <row r="942">
      <c r="D942" s="69"/>
      <c r="E942" s="69"/>
    </row>
    <row r="943">
      <c r="D943" s="69"/>
      <c r="E943" s="69"/>
    </row>
    <row r="944">
      <c r="D944" s="69"/>
      <c r="E944" s="69"/>
    </row>
    <row r="945">
      <c r="D945" s="69"/>
      <c r="E945" s="69"/>
    </row>
    <row r="946">
      <c r="D946" s="69"/>
      <c r="E946" s="69"/>
    </row>
    <row r="947">
      <c r="D947" s="69"/>
      <c r="E947" s="69"/>
    </row>
    <row r="948">
      <c r="D948" s="69"/>
      <c r="E948" s="69"/>
    </row>
    <row r="949">
      <c r="D949" s="69"/>
      <c r="E949" s="69"/>
    </row>
    <row r="950">
      <c r="D950" s="69"/>
      <c r="E950" s="69"/>
    </row>
    <row r="951">
      <c r="D951" s="69"/>
      <c r="E951" s="69"/>
    </row>
    <row r="952">
      <c r="D952" s="69"/>
      <c r="E952" s="69"/>
    </row>
    <row r="953">
      <c r="D953" s="69"/>
      <c r="E953" s="69"/>
    </row>
    <row r="954">
      <c r="D954" s="69"/>
      <c r="E954" s="69"/>
    </row>
    <row r="955">
      <c r="D955" s="69"/>
      <c r="E955" s="69"/>
    </row>
    <row r="956">
      <c r="D956" s="69"/>
      <c r="E956" s="69"/>
    </row>
    <row r="957">
      <c r="D957" s="69"/>
      <c r="E957" s="69"/>
    </row>
    <row r="958">
      <c r="D958" s="69"/>
      <c r="E958" s="69"/>
    </row>
    <row r="959">
      <c r="D959" s="69"/>
      <c r="E959" s="69"/>
    </row>
    <row r="960">
      <c r="D960" s="69"/>
      <c r="E960" s="69"/>
    </row>
    <row r="961">
      <c r="D961" s="69"/>
      <c r="E961" s="69"/>
    </row>
    <row r="962">
      <c r="D962" s="69"/>
      <c r="E962" s="69"/>
    </row>
    <row r="963">
      <c r="D963" s="69"/>
      <c r="E963" s="69"/>
    </row>
    <row r="964">
      <c r="D964" s="69"/>
      <c r="E964" s="69"/>
    </row>
    <row r="965">
      <c r="D965" s="69"/>
      <c r="E965" s="69"/>
    </row>
    <row r="966">
      <c r="D966" s="69"/>
      <c r="E966" s="69"/>
    </row>
    <row r="967">
      <c r="D967" s="69"/>
      <c r="E967" s="69"/>
    </row>
    <row r="968">
      <c r="D968" s="69"/>
      <c r="E968" s="69"/>
    </row>
    <row r="969">
      <c r="D969" s="69"/>
      <c r="E969" s="69"/>
    </row>
    <row r="970">
      <c r="D970" s="69"/>
      <c r="E970" s="69"/>
    </row>
    <row r="971">
      <c r="D971" s="69"/>
      <c r="E971" s="69"/>
    </row>
    <row r="972">
      <c r="D972" s="69"/>
      <c r="E972" s="69"/>
    </row>
    <row r="973">
      <c r="D973" s="69"/>
      <c r="E973" s="69"/>
    </row>
    <row r="974">
      <c r="D974" s="69"/>
      <c r="E974" s="69"/>
    </row>
    <row r="975">
      <c r="D975" s="69"/>
      <c r="E975" s="69"/>
    </row>
    <row r="976">
      <c r="D976" s="69"/>
      <c r="E976" s="69"/>
    </row>
    <row r="977">
      <c r="D977" s="69"/>
      <c r="E977" s="69"/>
    </row>
    <row r="978">
      <c r="D978" s="69"/>
      <c r="E978" s="69"/>
    </row>
    <row r="979">
      <c r="D979" s="69"/>
      <c r="E979" s="69"/>
    </row>
    <row r="980">
      <c r="D980" s="69"/>
      <c r="E980" s="69"/>
    </row>
    <row r="981">
      <c r="D981" s="69"/>
      <c r="E981" s="69"/>
    </row>
    <row r="982">
      <c r="D982" s="69"/>
      <c r="E982" s="69"/>
    </row>
    <row r="983">
      <c r="D983" s="69"/>
      <c r="E983" s="69"/>
    </row>
    <row r="984">
      <c r="D984" s="69"/>
      <c r="E984" s="69"/>
    </row>
    <row r="985">
      <c r="D985" s="69"/>
      <c r="E985" s="69"/>
    </row>
    <row r="986">
      <c r="D986" s="69"/>
      <c r="E986" s="69"/>
    </row>
    <row r="987">
      <c r="D987" s="69"/>
      <c r="E987" s="69"/>
    </row>
    <row r="988">
      <c r="D988" s="69"/>
      <c r="E988" s="69"/>
    </row>
    <row r="989">
      <c r="D989" s="69"/>
      <c r="E989" s="69"/>
    </row>
    <row r="990">
      <c r="D990" s="69"/>
      <c r="E990" s="69"/>
    </row>
    <row r="991">
      <c r="D991" s="69"/>
      <c r="E991" s="69"/>
    </row>
    <row r="992">
      <c r="D992" s="69"/>
      <c r="E992" s="69"/>
    </row>
    <row r="993">
      <c r="D993" s="69"/>
      <c r="E993" s="69"/>
    </row>
    <row r="994">
      <c r="D994" s="69"/>
      <c r="E994" s="69"/>
    </row>
    <row r="995">
      <c r="D995" s="69"/>
      <c r="E995" s="69"/>
    </row>
    <row r="996">
      <c r="D996" s="69"/>
      <c r="E996" s="69"/>
    </row>
    <row r="997">
      <c r="D997" s="69"/>
      <c r="E997" s="69"/>
    </row>
    <row r="998">
      <c r="D998" s="69"/>
      <c r="E998" s="69"/>
    </row>
    <row r="999">
      <c r="D999" s="69"/>
      <c r="E999" s="69"/>
    </row>
    <row r="1000">
      <c r="D1000" s="69"/>
      <c r="E1000" s="69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